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 Thực chiến\Phòng kinh tế kế hoạch\Kế hoạch VSV\"/>
    </mc:Choice>
  </mc:AlternateContent>
  <xr:revisionPtr revIDLastSave="0" documentId="13_ncr:1_{33A3395E-71CC-4E0C-AB88-506848C79790}" xr6:coauthVersionLast="47" xr6:coauthVersionMax="47" xr10:uidLastSave="{00000000-0000-0000-0000-000000000000}"/>
  <bookViews>
    <workbookView xWindow="-120" yWindow="-120" windowWidth="29040" windowHeight="15840" tabRatio="903" firstSheet="2" activeTab="2" xr2:uid="{00000000-000D-0000-FFFF-FFFF00000000}"/>
  </bookViews>
  <sheets>
    <sheet name="00_Huong dan" sheetId="1" r:id="rId1"/>
    <sheet name="DASHBOARD" sheetId="9" r:id="rId2"/>
    <sheet name="BANG TONG HOP" sheetId="2" r:id="rId3"/>
    <sheet name="01_HSo TienKC" sheetId="3" r:id="rId4"/>
    <sheet name="02_KH Thang_Tuan" sheetId="4" r:id="rId5"/>
    <sheet name="03_Phat sinh" sheetId="5" r:id="rId6"/>
    <sheet name="04_CU dac thu" sheetId="6" r:id="rId7"/>
    <sheet name="05_Bu tien do" sheetId="7" r:id="rId8"/>
    <sheet name="DM_Danh muc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12" i="2" l="1"/>
  <c r="U113" i="2"/>
  <c r="Z113" i="2"/>
  <c r="AA113" i="2"/>
  <c r="AB113" i="2"/>
  <c r="AC113" i="2"/>
  <c r="AE113" i="2"/>
  <c r="AI113" i="2"/>
  <c r="AJ113" i="2"/>
  <c r="AK113" i="2"/>
  <c r="AL113" i="2"/>
  <c r="U108" i="2"/>
  <c r="Z108" i="2"/>
  <c r="AA108" i="2"/>
  <c r="AB108" i="2"/>
  <c r="AC108" i="2"/>
  <c r="AE108" i="2"/>
  <c r="AI108" i="2"/>
  <c r="AJ108" i="2"/>
  <c r="AK108" i="2"/>
  <c r="AL108" i="2"/>
  <c r="U109" i="2"/>
  <c r="Z109" i="2"/>
  <c r="AA109" i="2"/>
  <c r="AB109" i="2"/>
  <c r="AC109" i="2"/>
  <c r="AE109" i="2"/>
  <c r="AI109" i="2"/>
  <c r="AJ109" i="2"/>
  <c r="AK109" i="2"/>
  <c r="AL109" i="2"/>
  <c r="U110" i="2"/>
  <c r="Z110" i="2"/>
  <c r="AA110" i="2"/>
  <c r="AB110" i="2"/>
  <c r="AC110" i="2"/>
  <c r="AE110" i="2"/>
  <c r="AI110" i="2"/>
  <c r="AJ110" i="2"/>
  <c r="AK110" i="2"/>
  <c r="AL110" i="2"/>
  <c r="U111" i="2"/>
  <c r="Z111" i="2"/>
  <c r="AA111" i="2"/>
  <c r="AB111" i="2"/>
  <c r="AC111" i="2"/>
  <c r="AE111" i="2"/>
  <c r="AI111" i="2"/>
  <c r="AJ111" i="2"/>
  <c r="AK111" i="2"/>
  <c r="AL111" i="2"/>
  <c r="U112" i="2"/>
  <c r="AA112" i="2"/>
  <c r="AB112" i="2"/>
  <c r="AC112" i="2"/>
  <c r="AE112" i="2"/>
  <c r="AI112" i="2"/>
  <c r="AJ112" i="2"/>
  <c r="AK112" i="2"/>
  <c r="AL112" i="2"/>
  <c r="U103" i="2"/>
  <c r="Z103" i="2"/>
  <c r="AA103" i="2"/>
  <c r="AB103" i="2"/>
  <c r="AC103" i="2"/>
  <c r="AE103" i="2"/>
  <c r="AI103" i="2"/>
  <c r="AJ103" i="2"/>
  <c r="AK103" i="2"/>
  <c r="AL103" i="2"/>
  <c r="U104" i="2"/>
  <c r="Z104" i="2"/>
  <c r="AA104" i="2"/>
  <c r="AB104" i="2"/>
  <c r="AC104" i="2"/>
  <c r="AE104" i="2"/>
  <c r="AI104" i="2"/>
  <c r="AJ104" i="2"/>
  <c r="AK104" i="2"/>
  <c r="AL104" i="2"/>
  <c r="U105" i="2"/>
  <c r="Z105" i="2"/>
  <c r="AA105" i="2"/>
  <c r="AB105" i="2"/>
  <c r="AC105" i="2"/>
  <c r="AE105" i="2"/>
  <c r="AI105" i="2"/>
  <c r="AJ105" i="2"/>
  <c r="AK105" i="2"/>
  <c r="AL105" i="2"/>
  <c r="U106" i="2"/>
  <c r="Z106" i="2"/>
  <c r="AA106" i="2"/>
  <c r="AB106" i="2"/>
  <c r="AC106" i="2"/>
  <c r="AE106" i="2"/>
  <c r="AI106" i="2"/>
  <c r="AJ106" i="2"/>
  <c r="AK106" i="2"/>
  <c r="AL106" i="2"/>
  <c r="U107" i="2"/>
  <c r="Z107" i="2"/>
  <c r="AA107" i="2"/>
  <c r="AB107" i="2"/>
  <c r="AC107" i="2"/>
  <c r="AE107" i="2"/>
  <c r="AI107" i="2"/>
  <c r="AJ107" i="2"/>
  <c r="AK107" i="2"/>
  <c r="AL107" i="2"/>
  <c r="U98" i="2"/>
  <c r="Z98" i="2"/>
  <c r="AA98" i="2"/>
  <c r="AB98" i="2"/>
  <c r="AC98" i="2"/>
  <c r="AE98" i="2"/>
  <c r="AI98" i="2"/>
  <c r="AJ98" i="2"/>
  <c r="AK98" i="2"/>
  <c r="AL98" i="2"/>
  <c r="U99" i="2"/>
  <c r="Z99" i="2"/>
  <c r="AA99" i="2"/>
  <c r="AB99" i="2"/>
  <c r="AC99" i="2"/>
  <c r="AE99" i="2"/>
  <c r="AI99" i="2"/>
  <c r="AJ99" i="2"/>
  <c r="AK99" i="2"/>
  <c r="AL99" i="2"/>
  <c r="U100" i="2"/>
  <c r="Z100" i="2"/>
  <c r="AA100" i="2"/>
  <c r="AB100" i="2"/>
  <c r="AC100" i="2"/>
  <c r="AE100" i="2"/>
  <c r="AI100" i="2"/>
  <c r="AJ100" i="2"/>
  <c r="AK100" i="2"/>
  <c r="AL100" i="2"/>
  <c r="U101" i="2"/>
  <c r="Z101" i="2"/>
  <c r="AA101" i="2"/>
  <c r="AB101" i="2"/>
  <c r="AC101" i="2"/>
  <c r="AE101" i="2"/>
  <c r="AI101" i="2"/>
  <c r="AJ101" i="2"/>
  <c r="AK101" i="2"/>
  <c r="AL101" i="2"/>
  <c r="U102" i="2"/>
  <c r="Z102" i="2"/>
  <c r="AA102" i="2"/>
  <c r="AB102" i="2"/>
  <c r="AC102" i="2"/>
  <c r="AE102" i="2"/>
  <c r="AI102" i="2"/>
  <c r="AJ102" i="2"/>
  <c r="AK102" i="2"/>
  <c r="AL102" i="2"/>
  <c r="U88" i="2"/>
  <c r="Z88" i="2"/>
  <c r="AA88" i="2"/>
  <c r="AB88" i="2"/>
  <c r="AC88" i="2"/>
  <c r="AE88" i="2"/>
  <c r="AI88" i="2"/>
  <c r="AJ88" i="2"/>
  <c r="AK88" i="2"/>
  <c r="AL88" i="2"/>
  <c r="U89" i="2"/>
  <c r="Z89" i="2"/>
  <c r="AA89" i="2"/>
  <c r="AB89" i="2"/>
  <c r="AC89" i="2"/>
  <c r="AE89" i="2"/>
  <c r="AI89" i="2"/>
  <c r="AJ89" i="2"/>
  <c r="AK89" i="2"/>
  <c r="AL89" i="2"/>
  <c r="U90" i="2"/>
  <c r="Z90" i="2"/>
  <c r="AA90" i="2"/>
  <c r="AB90" i="2"/>
  <c r="AC90" i="2"/>
  <c r="AE90" i="2"/>
  <c r="AI90" i="2"/>
  <c r="AJ90" i="2"/>
  <c r="AK90" i="2"/>
  <c r="AL90" i="2"/>
  <c r="U91" i="2"/>
  <c r="Z91" i="2"/>
  <c r="AA91" i="2"/>
  <c r="AB91" i="2"/>
  <c r="AC91" i="2"/>
  <c r="AE91" i="2"/>
  <c r="AI91" i="2"/>
  <c r="AJ91" i="2"/>
  <c r="AK91" i="2"/>
  <c r="AL91" i="2"/>
  <c r="U92" i="2"/>
  <c r="Z92" i="2"/>
  <c r="AA92" i="2"/>
  <c r="AB92" i="2"/>
  <c r="AC92" i="2"/>
  <c r="AE92" i="2"/>
  <c r="AI92" i="2"/>
  <c r="AJ92" i="2"/>
  <c r="AK92" i="2"/>
  <c r="AL92" i="2"/>
  <c r="F93" i="2"/>
  <c r="F97" i="2"/>
  <c r="U78" i="2"/>
  <c r="Z78" i="2"/>
  <c r="AA78" i="2"/>
  <c r="AB78" i="2"/>
  <c r="AC78" i="2"/>
  <c r="AE78" i="2"/>
  <c r="AI78" i="2"/>
  <c r="AJ78" i="2"/>
  <c r="AK78" i="2"/>
  <c r="AL78" i="2"/>
  <c r="U79" i="2"/>
  <c r="Z79" i="2"/>
  <c r="AA79" i="2"/>
  <c r="AB79" i="2"/>
  <c r="AC79" i="2"/>
  <c r="AE79" i="2"/>
  <c r="AI79" i="2"/>
  <c r="AJ79" i="2"/>
  <c r="AK79" i="2"/>
  <c r="AL79" i="2"/>
  <c r="U80" i="2"/>
  <c r="Z80" i="2"/>
  <c r="AA80" i="2"/>
  <c r="AB80" i="2"/>
  <c r="AC80" i="2"/>
  <c r="AE80" i="2"/>
  <c r="AI80" i="2"/>
  <c r="AJ80" i="2"/>
  <c r="AK80" i="2"/>
  <c r="AL80" i="2"/>
  <c r="U81" i="2"/>
  <c r="Z81" i="2"/>
  <c r="AA81" i="2"/>
  <c r="AB81" i="2"/>
  <c r="AC81" i="2"/>
  <c r="AE81" i="2"/>
  <c r="AI81" i="2"/>
  <c r="AJ81" i="2"/>
  <c r="AK81" i="2"/>
  <c r="AL81" i="2"/>
  <c r="U82" i="2"/>
  <c r="Z82" i="2"/>
  <c r="AA82" i="2"/>
  <c r="AB82" i="2"/>
  <c r="AC82" i="2"/>
  <c r="AE82" i="2"/>
  <c r="AI82" i="2"/>
  <c r="AJ82" i="2"/>
  <c r="AK82" i="2"/>
  <c r="AL82" i="2"/>
  <c r="F83" i="2"/>
  <c r="F87" i="2"/>
  <c r="U68" i="2"/>
  <c r="Z68" i="2"/>
  <c r="AA68" i="2"/>
  <c r="AB68" i="2"/>
  <c r="AC68" i="2"/>
  <c r="AE68" i="2"/>
  <c r="AI68" i="2"/>
  <c r="AJ68" i="2"/>
  <c r="AK68" i="2"/>
  <c r="AL68" i="2"/>
  <c r="U69" i="2"/>
  <c r="Z69" i="2"/>
  <c r="AA69" i="2"/>
  <c r="AB69" i="2"/>
  <c r="AC69" i="2"/>
  <c r="AE69" i="2"/>
  <c r="AI69" i="2"/>
  <c r="AJ69" i="2"/>
  <c r="AK69" i="2"/>
  <c r="AL69" i="2"/>
  <c r="U70" i="2"/>
  <c r="Z70" i="2"/>
  <c r="AA70" i="2"/>
  <c r="AB70" i="2"/>
  <c r="AC70" i="2"/>
  <c r="AE70" i="2"/>
  <c r="AI70" i="2"/>
  <c r="AJ70" i="2"/>
  <c r="AK70" i="2"/>
  <c r="AL70" i="2"/>
  <c r="U71" i="2"/>
  <c r="Z71" i="2"/>
  <c r="AA71" i="2"/>
  <c r="AB71" i="2"/>
  <c r="AC71" i="2"/>
  <c r="AE71" i="2"/>
  <c r="AI71" i="2"/>
  <c r="AJ71" i="2"/>
  <c r="AK71" i="2"/>
  <c r="AL71" i="2"/>
  <c r="U72" i="2"/>
  <c r="Z72" i="2"/>
  <c r="AA72" i="2"/>
  <c r="AB72" i="2"/>
  <c r="AC72" i="2"/>
  <c r="AE72" i="2"/>
  <c r="AI72" i="2"/>
  <c r="AJ72" i="2"/>
  <c r="AK72" i="2"/>
  <c r="AL72" i="2"/>
  <c r="F73" i="2"/>
  <c r="F77" i="2"/>
  <c r="U58" i="2"/>
  <c r="Z58" i="2"/>
  <c r="AA58" i="2"/>
  <c r="AB58" i="2"/>
  <c r="AC58" i="2"/>
  <c r="AE58" i="2"/>
  <c r="AI58" i="2"/>
  <c r="AJ58" i="2"/>
  <c r="AK58" i="2"/>
  <c r="AL58" i="2"/>
  <c r="U59" i="2"/>
  <c r="Z59" i="2"/>
  <c r="AA59" i="2"/>
  <c r="AB59" i="2"/>
  <c r="AC59" i="2"/>
  <c r="AE59" i="2"/>
  <c r="AI59" i="2"/>
  <c r="AJ59" i="2"/>
  <c r="AK59" i="2"/>
  <c r="AL59" i="2"/>
  <c r="U60" i="2"/>
  <c r="Z60" i="2"/>
  <c r="AA60" i="2"/>
  <c r="AB60" i="2"/>
  <c r="AC60" i="2"/>
  <c r="AE60" i="2"/>
  <c r="AI60" i="2"/>
  <c r="AJ60" i="2"/>
  <c r="AK60" i="2"/>
  <c r="AL60" i="2"/>
  <c r="U61" i="2"/>
  <c r="Z61" i="2"/>
  <c r="AA61" i="2"/>
  <c r="AB61" i="2"/>
  <c r="AC61" i="2"/>
  <c r="AE61" i="2"/>
  <c r="AI61" i="2"/>
  <c r="AJ61" i="2"/>
  <c r="AK61" i="2"/>
  <c r="AL61" i="2"/>
  <c r="U62" i="2"/>
  <c r="Z62" i="2"/>
  <c r="AA62" i="2"/>
  <c r="AB62" i="2"/>
  <c r="AC62" i="2"/>
  <c r="AE62" i="2"/>
  <c r="AI62" i="2"/>
  <c r="AJ62" i="2"/>
  <c r="AK62" i="2"/>
  <c r="AL62" i="2"/>
  <c r="F63" i="2"/>
  <c r="F67" i="2"/>
  <c r="P47" i="2"/>
  <c r="N47" i="2"/>
  <c r="P46" i="2"/>
  <c r="N46" i="2"/>
  <c r="P45" i="2"/>
  <c r="N45" i="2"/>
  <c r="P44" i="2"/>
  <c r="N44" i="2"/>
  <c r="F53" i="2"/>
  <c r="F57" i="2" s="1"/>
  <c r="AL52" i="2"/>
  <c r="AK52" i="2"/>
  <c r="AJ52" i="2"/>
  <c r="AI52" i="2"/>
  <c r="AE52" i="2"/>
  <c r="AC52" i="2"/>
  <c r="AB52" i="2"/>
  <c r="AA52" i="2"/>
  <c r="Z52" i="2"/>
  <c r="U52" i="2"/>
  <c r="AL51" i="2"/>
  <c r="AK51" i="2"/>
  <c r="AJ51" i="2"/>
  <c r="AI51" i="2"/>
  <c r="AE51" i="2"/>
  <c r="AC51" i="2"/>
  <c r="AB51" i="2"/>
  <c r="AA51" i="2"/>
  <c r="Z51" i="2"/>
  <c r="U51" i="2"/>
  <c r="AL50" i="2"/>
  <c r="AK50" i="2"/>
  <c r="AJ50" i="2"/>
  <c r="AI50" i="2"/>
  <c r="AE50" i="2"/>
  <c r="AC50" i="2"/>
  <c r="AB50" i="2"/>
  <c r="AA50" i="2"/>
  <c r="Z50" i="2"/>
  <c r="U50" i="2"/>
  <c r="AL49" i="2"/>
  <c r="AK49" i="2"/>
  <c r="AJ49" i="2"/>
  <c r="AI49" i="2"/>
  <c r="AE49" i="2"/>
  <c r="AC49" i="2"/>
  <c r="AB49" i="2"/>
  <c r="AA49" i="2"/>
  <c r="Z49" i="2"/>
  <c r="U49" i="2"/>
  <c r="AL48" i="2"/>
  <c r="AK48" i="2"/>
  <c r="AJ48" i="2"/>
  <c r="AI48" i="2"/>
  <c r="AE48" i="2"/>
  <c r="AB48" i="2"/>
  <c r="AA48" i="2"/>
  <c r="Z48" i="2"/>
  <c r="AC48" i="2" s="1"/>
  <c r="U48" i="2"/>
  <c r="T39" i="2"/>
  <c r="F33" i="2"/>
  <c r="U38" i="2"/>
  <c r="Z38" i="2"/>
  <c r="AA38" i="2"/>
  <c r="AB38" i="2"/>
  <c r="AC38" i="2"/>
  <c r="AE38" i="2"/>
  <c r="AI38" i="2"/>
  <c r="AJ38" i="2"/>
  <c r="AK38" i="2"/>
  <c r="AL38" i="2"/>
  <c r="U39" i="2"/>
  <c r="Z39" i="2"/>
  <c r="AA39" i="2"/>
  <c r="AB39" i="2"/>
  <c r="AC39" i="2"/>
  <c r="AE39" i="2"/>
  <c r="AI39" i="2"/>
  <c r="AJ39" i="2"/>
  <c r="AK39" i="2"/>
  <c r="AL39" i="2"/>
  <c r="U40" i="2"/>
  <c r="Z40" i="2"/>
  <c r="AA40" i="2"/>
  <c r="AB40" i="2"/>
  <c r="AC40" i="2"/>
  <c r="AE40" i="2"/>
  <c r="AI40" i="2"/>
  <c r="AJ40" i="2"/>
  <c r="AK40" i="2"/>
  <c r="AL40" i="2"/>
  <c r="U41" i="2"/>
  <c r="Z41" i="2"/>
  <c r="AA41" i="2"/>
  <c r="AB41" i="2"/>
  <c r="AC41" i="2"/>
  <c r="AE41" i="2"/>
  <c r="AI41" i="2"/>
  <c r="AJ41" i="2"/>
  <c r="AK41" i="2"/>
  <c r="AL41" i="2"/>
  <c r="U42" i="2"/>
  <c r="Z42" i="2"/>
  <c r="AA42" i="2"/>
  <c r="AB42" i="2"/>
  <c r="AC42" i="2"/>
  <c r="AE42" i="2"/>
  <c r="AI42" i="2"/>
  <c r="AJ42" i="2"/>
  <c r="AK42" i="2"/>
  <c r="AL42" i="2"/>
  <c r="F43" i="2"/>
  <c r="I28" i="2"/>
  <c r="F37" i="2"/>
  <c r="H28" i="2"/>
  <c r="G28" i="2"/>
  <c r="T29" i="2"/>
  <c r="F19" i="2"/>
  <c r="F16" i="2"/>
  <c r="F14" i="2"/>
  <c r="U28" i="2"/>
  <c r="Z28" i="2"/>
  <c r="AA28" i="2"/>
  <c r="AB28" i="2"/>
  <c r="AE28" i="2"/>
  <c r="AI28" i="2"/>
  <c r="AJ28" i="2"/>
  <c r="AK28" i="2"/>
  <c r="AL28" i="2"/>
  <c r="U29" i="2"/>
  <c r="Z29" i="2"/>
  <c r="AA29" i="2"/>
  <c r="AB29" i="2"/>
  <c r="AC29" i="2"/>
  <c r="AE29" i="2"/>
  <c r="AI29" i="2"/>
  <c r="AJ29" i="2"/>
  <c r="AK29" i="2"/>
  <c r="AL29" i="2"/>
  <c r="U30" i="2"/>
  <c r="Z30" i="2"/>
  <c r="AA30" i="2"/>
  <c r="AB30" i="2"/>
  <c r="AC30" i="2"/>
  <c r="AE30" i="2"/>
  <c r="AI30" i="2"/>
  <c r="AJ30" i="2"/>
  <c r="AK30" i="2"/>
  <c r="AL30" i="2"/>
  <c r="U31" i="2"/>
  <c r="Z31" i="2"/>
  <c r="AA31" i="2"/>
  <c r="AB31" i="2"/>
  <c r="AC31" i="2"/>
  <c r="AE31" i="2"/>
  <c r="AI31" i="2"/>
  <c r="AJ31" i="2"/>
  <c r="AK31" i="2"/>
  <c r="AL31" i="2"/>
  <c r="U32" i="2"/>
  <c r="Z32" i="2"/>
  <c r="AA32" i="2"/>
  <c r="AB32" i="2"/>
  <c r="AC32" i="2"/>
  <c r="AE32" i="2"/>
  <c r="AI32" i="2"/>
  <c r="AJ32" i="2"/>
  <c r="AK32" i="2"/>
  <c r="AL32" i="2"/>
  <c r="U9" i="2"/>
  <c r="C29" i="9"/>
  <c r="C28" i="9"/>
  <c r="C27" i="9"/>
  <c r="C26" i="9"/>
  <c r="C23" i="9"/>
  <c r="C13" i="9"/>
  <c r="C10" i="9"/>
  <c r="C9" i="9"/>
  <c r="C6" i="9"/>
  <c r="AL136" i="2"/>
  <c r="AK136" i="2"/>
  <c r="AJ136" i="2"/>
  <c r="AI136" i="2"/>
  <c r="AE136" i="2"/>
  <c r="AC136" i="2"/>
  <c r="AB136" i="2"/>
  <c r="AA136" i="2"/>
  <c r="Z136" i="2"/>
  <c r="U136" i="2"/>
  <c r="AL135" i="2"/>
  <c r="AK135" i="2"/>
  <c r="AJ135" i="2"/>
  <c r="AI135" i="2"/>
  <c r="AE135" i="2"/>
  <c r="AC135" i="2"/>
  <c r="AB135" i="2"/>
  <c r="AA135" i="2"/>
  <c r="Z135" i="2"/>
  <c r="U135" i="2"/>
  <c r="AL134" i="2"/>
  <c r="AK134" i="2"/>
  <c r="AJ134" i="2"/>
  <c r="AI134" i="2"/>
  <c r="AE134" i="2"/>
  <c r="AC134" i="2"/>
  <c r="AB134" i="2"/>
  <c r="AA134" i="2"/>
  <c r="Z134" i="2"/>
  <c r="U134" i="2"/>
  <c r="AL133" i="2"/>
  <c r="AK133" i="2"/>
  <c r="AJ133" i="2"/>
  <c r="AI133" i="2"/>
  <c r="AE133" i="2"/>
  <c r="AC133" i="2"/>
  <c r="AB133" i="2"/>
  <c r="AA133" i="2"/>
  <c r="Z133" i="2"/>
  <c r="U133" i="2"/>
  <c r="AL132" i="2"/>
  <c r="AK132" i="2"/>
  <c r="AJ132" i="2"/>
  <c r="AI132" i="2"/>
  <c r="AE132" i="2"/>
  <c r="AC132" i="2"/>
  <c r="AB132" i="2"/>
  <c r="AA132" i="2"/>
  <c r="Z132" i="2"/>
  <c r="U132" i="2"/>
  <c r="AL131" i="2"/>
  <c r="AK131" i="2"/>
  <c r="AJ131" i="2"/>
  <c r="AI131" i="2"/>
  <c r="AE131" i="2"/>
  <c r="AC131" i="2"/>
  <c r="AB131" i="2"/>
  <c r="AA131" i="2"/>
  <c r="Z131" i="2"/>
  <c r="U131" i="2"/>
  <c r="AL130" i="2"/>
  <c r="AK130" i="2"/>
  <c r="AJ130" i="2"/>
  <c r="AI130" i="2"/>
  <c r="AE130" i="2"/>
  <c r="AC130" i="2"/>
  <c r="AB130" i="2"/>
  <c r="AA130" i="2"/>
  <c r="Z130" i="2"/>
  <c r="U130" i="2"/>
  <c r="AL129" i="2"/>
  <c r="AK129" i="2"/>
  <c r="AJ129" i="2"/>
  <c r="AI129" i="2"/>
  <c r="AE129" i="2"/>
  <c r="AC129" i="2"/>
  <c r="AB129" i="2"/>
  <c r="AA129" i="2"/>
  <c r="Z129" i="2"/>
  <c r="U129" i="2"/>
  <c r="AL128" i="2"/>
  <c r="AK128" i="2"/>
  <c r="AJ128" i="2"/>
  <c r="AI128" i="2"/>
  <c r="AE128" i="2"/>
  <c r="AC128" i="2"/>
  <c r="AB128" i="2"/>
  <c r="AA128" i="2"/>
  <c r="Z128" i="2"/>
  <c r="U128" i="2"/>
  <c r="AL127" i="2"/>
  <c r="AK127" i="2"/>
  <c r="AJ127" i="2"/>
  <c r="AI127" i="2"/>
  <c r="AE127" i="2"/>
  <c r="AC127" i="2"/>
  <c r="AB127" i="2"/>
  <c r="AA127" i="2"/>
  <c r="Z127" i="2"/>
  <c r="U127" i="2"/>
  <c r="AL126" i="2"/>
  <c r="AK126" i="2"/>
  <c r="AJ126" i="2"/>
  <c r="AI126" i="2"/>
  <c r="AE126" i="2"/>
  <c r="AC126" i="2"/>
  <c r="AB126" i="2"/>
  <c r="AA126" i="2"/>
  <c r="Z126" i="2"/>
  <c r="U126" i="2"/>
  <c r="AL125" i="2"/>
  <c r="AK125" i="2"/>
  <c r="AJ125" i="2"/>
  <c r="AI125" i="2"/>
  <c r="AE125" i="2"/>
  <c r="AC125" i="2"/>
  <c r="AB125" i="2"/>
  <c r="AA125" i="2"/>
  <c r="Z125" i="2"/>
  <c r="U125" i="2"/>
  <c r="AL124" i="2"/>
  <c r="AK124" i="2"/>
  <c r="AJ124" i="2"/>
  <c r="AI124" i="2"/>
  <c r="AE124" i="2"/>
  <c r="AC124" i="2"/>
  <c r="AB124" i="2"/>
  <c r="AA124" i="2"/>
  <c r="Z124" i="2"/>
  <c r="U124" i="2"/>
  <c r="AL123" i="2"/>
  <c r="AK123" i="2"/>
  <c r="AJ123" i="2"/>
  <c r="AI123" i="2"/>
  <c r="AE123" i="2"/>
  <c r="AC123" i="2"/>
  <c r="AB123" i="2"/>
  <c r="AA123" i="2"/>
  <c r="Z123" i="2"/>
  <c r="U123" i="2"/>
  <c r="AL122" i="2"/>
  <c r="AK122" i="2"/>
  <c r="AJ122" i="2"/>
  <c r="AI122" i="2"/>
  <c r="AE122" i="2"/>
  <c r="AC122" i="2"/>
  <c r="AB122" i="2"/>
  <c r="AA122" i="2"/>
  <c r="Z122" i="2"/>
  <c r="U122" i="2"/>
  <c r="AL121" i="2"/>
  <c r="AK121" i="2"/>
  <c r="AJ121" i="2"/>
  <c r="AI121" i="2"/>
  <c r="AE121" i="2"/>
  <c r="AC121" i="2"/>
  <c r="AB121" i="2"/>
  <c r="AA121" i="2"/>
  <c r="Z121" i="2"/>
  <c r="U121" i="2"/>
  <c r="AL23" i="2"/>
  <c r="AK23" i="2"/>
  <c r="AJ23" i="2"/>
  <c r="AI23" i="2"/>
  <c r="AE23" i="2"/>
  <c r="AC23" i="2"/>
  <c r="AB23" i="2"/>
  <c r="AA23" i="2"/>
  <c r="Z23" i="2"/>
  <c r="U23" i="2"/>
  <c r="AL22" i="2"/>
  <c r="AK22" i="2"/>
  <c r="AJ22" i="2"/>
  <c r="AI22" i="2"/>
  <c r="AE22" i="2"/>
  <c r="AC22" i="2"/>
  <c r="AB22" i="2"/>
  <c r="AA22" i="2"/>
  <c r="Z22" i="2"/>
  <c r="U22" i="2"/>
  <c r="AL21" i="2"/>
  <c r="AK21" i="2"/>
  <c r="AJ21" i="2"/>
  <c r="AI21" i="2"/>
  <c r="AE21" i="2"/>
  <c r="AC21" i="2"/>
  <c r="AB21" i="2"/>
  <c r="AA21" i="2"/>
  <c r="Z21" i="2"/>
  <c r="U21" i="2"/>
  <c r="AL20" i="2"/>
  <c r="AK20" i="2"/>
  <c r="AJ20" i="2"/>
  <c r="AI20" i="2"/>
  <c r="AE20" i="2"/>
  <c r="AC20" i="2"/>
  <c r="AB20" i="2"/>
  <c r="AA20" i="2"/>
  <c r="Z20" i="2"/>
  <c r="U20" i="2"/>
  <c r="AL19" i="2"/>
  <c r="AK19" i="2"/>
  <c r="AJ19" i="2"/>
  <c r="AI19" i="2"/>
  <c r="AE19" i="2"/>
  <c r="AC19" i="2"/>
  <c r="AB19" i="2"/>
  <c r="AA19" i="2"/>
  <c r="Z19" i="2"/>
  <c r="U19" i="2"/>
  <c r="AL18" i="2"/>
  <c r="AK18" i="2"/>
  <c r="AJ18" i="2"/>
  <c r="AI18" i="2"/>
  <c r="AE18" i="2"/>
  <c r="AC18" i="2"/>
  <c r="AB18" i="2"/>
  <c r="AA18" i="2"/>
  <c r="Z18" i="2"/>
  <c r="U18" i="2"/>
  <c r="AL17" i="2"/>
  <c r="AK17" i="2"/>
  <c r="AJ17" i="2"/>
  <c r="AI17" i="2"/>
  <c r="AE17" i="2"/>
  <c r="AC17" i="2"/>
  <c r="AB17" i="2"/>
  <c r="AA17" i="2"/>
  <c r="Z17" i="2"/>
  <c r="U17" i="2"/>
  <c r="AL16" i="2"/>
  <c r="AK16" i="2"/>
  <c r="AJ16" i="2"/>
  <c r="AI16" i="2"/>
  <c r="AE16" i="2"/>
  <c r="AC16" i="2"/>
  <c r="AB16" i="2"/>
  <c r="AA16" i="2"/>
  <c r="Z16" i="2"/>
  <c r="U16" i="2"/>
  <c r="AL15" i="2"/>
  <c r="AK15" i="2"/>
  <c r="AJ15" i="2"/>
  <c r="AI15" i="2"/>
  <c r="AE15" i="2"/>
  <c r="AC15" i="2"/>
  <c r="AB15" i="2"/>
  <c r="AA15" i="2"/>
  <c r="Z15" i="2"/>
  <c r="U15" i="2"/>
  <c r="AL14" i="2"/>
  <c r="AK14" i="2"/>
  <c r="AJ14" i="2"/>
  <c r="AI14" i="2"/>
  <c r="AE14" i="2"/>
  <c r="AC14" i="2"/>
  <c r="AB14" i="2"/>
  <c r="AA14" i="2"/>
  <c r="Z14" i="2"/>
  <c r="U14" i="2"/>
  <c r="AL13" i="2"/>
  <c r="AK13" i="2"/>
  <c r="AJ13" i="2"/>
  <c r="AI13" i="2"/>
  <c r="AE13" i="2"/>
  <c r="AC13" i="2"/>
  <c r="AB13" i="2"/>
  <c r="AA13" i="2"/>
  <c r="Z13" i="2"/>
  <c r="U13" i="2"/>
  <c r="AL12" i="2"/>
  <c r="AK12" i="2"/>
  <c r="AJ12" i="2"/>
  <c r="AI12" i="2"/>
  <c r="AE12" i="2"/>
  <c r="AC12" i="2"/>
  <c r="AB12" i="2"/>
  <c r="AA12" i="2"/>
  <c r="Z12" i="2"/>
  <c r="U12" i="2"/>
  <c r="AL11" i="2"/>
  <c r="AK11" i="2"/>
  <c r="AJ11" i="2"/>
  <c r="AI11" i="2"/>
  <c r="AE11" i="2"/>
  <c r="AC11" i="2"/>
  <c r="AB11" i="2"/>
  <c r="AA11" i="2"/>
  <c r="Z11" i="2"/>
  <c r="U11" i="2"/>
  <c r="AL10" i="2"/>
  <c r="AK10" i="2"/>
  <c r="AJ10" i="2"/>
  <c r="AI10" i="2"/>
  <c r="AE10" i="2"/>
  <c r="AC10" i="2"/>
  <c r="AB10" i="2"/>
  <c r="AA10" i="2"/>
  <c r="Z10" i="2"/>
  <c r="U10" i="2"/>
  <c r="AL9" i="2"/>
  <c r="AK9" i="2"/>
  <c r="AJ9" i="2"/>
  <c r="AI9" i="2"/>
  <c r="AE9" i="2"/>
  <c r="AC9" i="2"/>
  <c r="AB9" i="2"/>
  <c r="AA9" i="2"/>
  <c r="Z9" i="2"/>
  <c r="AL8" i="2"/>
  <c r="AK8" i="2"/>
  <c r="AJ8" i="2"/>
  <c r="AI8" i="2"/>
  <c r="AE8" i="2"/>
  <c r="AC8" i="2"/>
  <c r="AB8" i="2"/>
  <c r="AA8" i="2"/>
  <c r="Z8" i="2"/>
  <c r="U8" i="2"/>
  <c r="AL7" i="2"/>
  <c r="AK7" i="2"/>
  <c r="AJ7" i="2"/>
  <c r="AI7" i="2"/>
  <c r="AE7" i="2"/>
  <c r="AB7" i="2"/>
  <c r="AA7" i="2"/>
  <c r="Z7" i="2"/>
  <c r="U7" i="2"/>
  <c r="AL6" i="2"/>
  <c r="AK6" i="2"/>
  <c r="AJ6" i="2"/>
  <c r="AI6" i="2"/>
  <c r="AE6" i="2"/>
  <c r="AB6" i="2"/>
  <c r="AA6" i="2"/>
  <c r="Z6" i="2"/>
  <c r="U6" i="2"/>
  <c r="F47" i="2" l="1"/>
  <c r="AC28" i="2"/>
  <c r="F24" i="2"/>
  <c r="F25" i="2" s="1"/>
  <c r="F26" i="2" s="1"/>
  <c r="F27" i="2" s="1"/>
  <c r="F15" i="2"/>
  <c r="F17" i="2" s="1"/>
  <c r="F18" i="2" s="1"/>
  <c r="F20" i="2" s="1"/>
  <c r="F21" i="2" s="1"/>
  <c r="F22" i="2" s="1"/>
  <c r="F23" i="2" s="1"/>
  <c r="C16" i="9"/>
  <c r="C15" i="9"/>
  <c r="C14" i="9"/>
  <c r="AC6" i="2"/>
  <c r="AC7" i="2"/>
  <c r="C7" i="9" l="1"/>
  <c r="C8" i="9"/>
  <c r="C19" i="9" l="1"/>
  <c r="C20" i="9"/>
  <c r="C21" i="9"/>
  <c r="C22" i="9"/>
</calcChain>
</file>

<file path=xl/sharedStrings.xml><?xml version="1.0" encoding="utf-8"?>
<sst xmlns="http://schemas.openxmlformats.org/spreadsheetml/2006/main" count="1192" uniqueCount="493">
  <si>
    <t>HƯỚNG DẪN SỬ DỤNG – HỆ THỐNG KIỂM SOÁT KHÉP KÍN VÒNG ĐỜI GÓI THẦU (v1)</t>
  </si>
  <si>
    <t>1. BẢN ĐỒ SHEET</t>
  </si>
  <si>
    <t>• BANG TONG HOP: bảng xương sống – mỗi hạng mục 1 dòng, đi từ đầu vào CĐT → KHCU → KHTK → cổng khởi công → quản lý sau khởi công → cảnh báo.</t>
  </si>
  <si>
    <t>• 01_HSo TienKC: sổ lưu LINK sản phẩm các bước tiền khởi công đã hoàn thành (HSTKTC, SPECS, BOQ, KQ LCNT, HĐCU, KHCU, PLHĐ, KHTK).</t>
  </si>
  <si>
    <t>• 02_KH Thang_Tuan: kế hoạch triển khai theo tháng – 5 tài liệu bắt buộc (BPTC, KH cung ứng, biểu đồ nhân lực, biểu đồ máy móc thiết bị, biểu đồ cung ứng) + lập/duyệt.</t>
  </si>
  <si>
    <t>• 03_Phat sinh: phát sinh &amp; sai khác – làm rõ, ghi nhận, phê duyệt, cập nhật điều chỉnh (KH→KQ).</t>
  </si>
  <si>
    <t>• 04_CU dac thu: yêu cầu cung ứng đặc thù/đột xuất – ghi nhận, phê duyệt, kiểm soát.</t>
  </si>
  <si>
    <t>• 05_Bu tien do: phương án bù tiến độ khi chậm (tăng ca, đổi BPTC, thêm nguồn lực).</t>
  </si>
  <si>
    <t>• DM_Danh muc: danh mục chuẩn cho dropdown.  • DASHBOARD: tổng hợp tự động.</t>
  </si>
  <si>
    <t>2. KHÓA LIÊN KẾT = MÃ BSC</t>
  </si>
  <si>
    <t>Mọi sổ đều có cột 'Mã BSC' trỏ về hạng mục trong BANG TONG HOP. Master tự đếm ngược từ các sổ (cột F: tài liệu tháng, phát sinh, cung ứng đột xuất, bù tiến độ) → tạo vòng khép kín 'link về tổng thể'.</t>
  </si>
  <si>
    <t>3. QUY TẮC NHẬP LIỆU (đã chuẩn hóa)</t>
  </si>
  <si>
    <t>• Cột 'KH ...' = NGÀY kế hoạch (định dạng ngày). Cột 'TT ...' = TRẠNG THÁI (chọn dropdown). KHÔNG nhập lẫn ngày vào cột trạng thái.</t>
  </si>
  <si>
    <t>• Ô nền xám = công thức tự động (cổng, % , ĐK1-3, cột F, cờ cảnh báo) – không gõ tay.</t>
  </si>
  <si>
    <t>• Hạng mục thành phần (WBS) để trống các cột tiến trình – cổng sẽ tự để trống.</t>
  </si>
  <si>
    <t>4. TIỀN KHỞI CÔNG – GẮN LINK SẢN PHẨM</t>
  </si>
  <si>
    <t>Mỗi bước hoàn thành → mở sổ 01, thêm dòng (Mã BSC, loại hồ sơ, tên sản phẩm, dán LINK lưu trữ, người duyệt, TT duyệt = 'Đã duyệt'). Master cột 'HS tiền KC (duyệt)' tự đếm; đủ 8 loại mới hết cảnh báo VÀNG.</t>
  </si>
  <si>
    <t>CỔNG KHỞI CÔNG = ĐỦ ĐK chỉ khi: (HSTKTC phát hành/hoàn thiện + BOQ bàn giao) VÀ HĐCU 'Đã CU' VÀ KHTK 'Đã duyệt'. Thiếu 1 → THIẾU ĐK, không khởi công.</t>
  </si>
  <si>
    <t>5. SAU KHỞI CÔNG – BÁO CÁO THÁNG/TUẦN</t>
  </si>
  <si>
    <t>• Mục E trong master: nhập % KH vs % KQ theo tháng và 4 tuần + đánh giá/giải pháp. KQ tuần &lt; KH → cảnh báo chậm.</t>
  </si>
  <si>
    <t>• Sổ 02: đầu mỗi tháng lập đủ 5 tài liệu, đánh dấu 'Đạt YCKT CĐT', dán link, trình duyệt. Thiếu duyệt sẽ thấy ở cột 'Tài liệu KH tháng (duyệt/tổng)'.</t>
  </si>
  <si>
    <t>• Phát sinh/sai khác → sổ 03; cung ứng đặc thù/đột xuất → sổ 04; chậm cần bù → sổ 05. Khi chưa duyệt/đang chạy, master tự bật cảnh báo CAM.</t>
  </si>
  <si>
    <t>6. CỜ CẢNH BÁO (ưu tiên)</t>
  </si>
  <si>
    <t>ĐỎ: khởi công thiếu ĐK · vượt ngân sách · chậm HSTKTC.  CAM: phát sinh chưa duyệt · cung ứng đột xuất chờ duyệt · đang bù tiến độ · chậm KQ LCNT · chậm tiến độ tháng.  VÀNG: chưa lưu đủ hồ sơ tiền KC.  XANH: bình thường.</t>
  </si>
  <si>
    <t>CHUỖI MẪU: hạng mục CT-01 (Nhà mẫu) đã được đẩy chạy hết vòng đời (đủ ĐK → khởi công 01/06/2026 → báo cáo tháng 6 → có phát sinh, cung ứng đột xuất, bù tiến độ) để minh họa toàn hệ.</t>
  </si>
  <si>
    <t>DASHBOARD ĐIỀU HÀNH – TỰ ĐỘNG TỪ TOÀN HỆ THỐNG</t>
  </si>
  <si>
    <t>(Làm mới khi mở/recalc. Vùng master: dòng 6–40; vùng sổ: dòng 3–100)</t>
  </si>
  <si>
    <t>① TIỀN KHỞI CÔNG (chốt chặn)</t>
  </si>
  <si>
    <t>Tổng hạng mục có Mã theo dõi</t>
  </si>
  <si>
    <t>Đủ ĐK khởi công</t>
  </si>
  <si>
    <t>Thiếu ĐK khởi công</t>
  </si>
  <si>
    <t>Đã khởi công (có ngày BĐ)</t>
  </si>
  <si>
    <t>Hồ sơ tiền KC đã lưu (sổ 01)</t>
  </si>
  <si>
    <t>② SAU KHỞI CÔNG (báo cáo &amp; kiểm soát)</t>
  </si>
  <si>
    <t>Tài liệu KH tháng đã duyệt / tổng (sổ 02)</t>
  </si>
  <si>
    <t>Phát sinh/sai khác chưa duyệt (sổ 03)</t>
  </si>
  <si>
    <t>YC cung ứng đột xuất chờ duyệt (sổ 04)</t>
  </si>
  <si>
    <t>Phương án bù tiến độ đang chạy (sổ 05)</t>
  </si>
  <si>
    <t>③ CẢNH BÁO TỔNG HỢP</t>
  </si>
  <si>
    <t>Cảnh báo ĐỎ</t>
  </si>
  <si>
    <t>Cảnh báo CAM</t>
  </si>
  <si>
    <t>Cảnh báo VÀNG</t>
  </si>
  <si>
    <t>Bình thường (XANH)</t>
  </si>
  <si>
    <t>Rủi ro mức Cao</t>
  </si>
  <si>
    <t>④ TÀI CHÍNH (tỷ VNĐ)</t>
  </si>
  <si>
    <t>Tổng ngân sách CĐT</t>
  </si>
  <si>
    <t>Tổng giá trị HĐCU</t>
  </si>
  <si>
    <t>Tổng giá trị phát sinh (sổ 03)</t>
  </si>
  <si>
    <t>Tổng giá trị cung ứng đột xuất (sổ 04)</t>
  </si>
  <si>
    <t>QUY TẮC VÀNG: Không HSTKTC → Không cung ứng + Không HDTC → Không thi công</t>
  </si>
  <si>
    <t>HỆ THỐNG KIỂM SOÁT KHÉP KÍN VÒNG ĐỜI GÓI THẦU THI CÔNG – BẢNG TỔNG HỢP (v1)</t>
  </si>
  <si>
    <t>Dự án KĐT Ven sông Vinh | Ô nền xám = công thức tự động | Cột F &amp; G tự liên kết 5 sổ đăng ký | Chuỗi mẫu: CT-01 chạy hết vòng đời</t>
  </si>
  <si>
    <t>0. ĐỊNH DANH</t>
  </si>
  <si>
    <t>A. ĐẦU VÀO CĐT (Tiến độ – Ngân sách – HSKT)</t>
  </si>
  <si>
    <t>B. KẾ HOẠCH CUNG ỨNG (KHCU)</t>
  </si>
  <si>
    <t>C. KẾ HOẠCH TRIỂN KHAI (KHTK)</t>
  </si>
  <si>
    <t>D. CHỐT CHẶN ĐIỀU KIỆN KHỞI CÔNG</t>
  </si>
  <si>
    <t>E. QUẢN LÝ NGÂN SÁCH THỰC HIỆN</t>
  </si>
  <si>
    <t>THÁNG 06/2026</t>
  </si>
  <si>
    <t>TT</t>
  </si>
  <si>
    <t>Mã BSC</t>
  </si>
  <si>
    <t>Gói thầu (PL)</t>
  </si>
  <si>
    <t>Nhóm CT</t>
  </si>
  <si>
    <t>Hạng mục / Công việc</t>
  </si>
  <si>
    <t>Phụ trách</t>
  </si>
  <si>
    <t>Ngày BĐ (YC CĐT)</t>
  </si>
  <si>
    <t>Ngày KT (YC CĐT)</t>
  </si>
  <si>
    <t>Ngân sách (tỷ)</t>
  </si>
  <si>
    <t>KH phát hành HSTKTC</t>
  </si>
  <si>
    <t>TT HSTKTC</t>
  </si>
  <si>
    <t>TT SPECS</t>
  </si>
  <si>
    <t>TT BOQ/KL</t>
  </si>
  <si>
    <t>KH LCNT</t>
  </si>
  <si>
    <t>TT LCNT</t>
  </si>
  <si>
    <t>KH Ký HĐCU</t>
  </si>
  <si>
    <t>TT Ký HĐCU</t>
  </si>
  <si>
    <t>KH PD KHCU</t>
  </si>
  <si>
    <t>TT KHCU</t>
  </si>
  <si>
    <t>Giá trị HĐCU (tỷ)</t>
  </si>
  <si>
    <t>% HĐCU/NS</t>
  </si>
  <si>
    <t>KH ký PLHĐ CĐT</t>
  </si>
  <si>
    <t>TT Ký PLHĐ CĐT</t>
  </si>
  <si>
    <t>KH PD KHTK</t>
  </si>
  <si>
    <t>TT KHTK</t>
  </si>
  <si>
    <t>ĐK1 HSKT đủ</t>
  </si>
  <si>
    <t>ĐK2 HĐCU ký</t>
  </si>
  <si>
    <t>ĐK3 KHTK duyệt</t>
  </si>
  <si>
    <t>ĐIỀU KIỆN ĐỦ</t>
  </si>
  <si>
    <t>NGÀY BĐ KHỞI CÔNG</t>
  </si>
  <si>
    <t>HS tiền KC (duyệt)</t>
  </si>
  <si>
    <t>LŨY KẾ GIÁ TRỊ HĐ A - B</t>
  </si>
  <si>
    <t>LŨY KẾ PHÁT SINH HĐ B - B'</t>
  </si>
  <si>
    <t>LŨY KẾ TỔNG CHI PHÍ/ NGÂN SÁCH</t>
  </si>
  <si>
    <t>F. KIỂM SOÁT HỒ SƠ KHTK/ PHÁT SINH</t>
  </si>
  <si>
    <t>G. QUẢN LÝ QA/QC/QS</t>
  </si>
  <si>
    <t>G. QUẢN LÝ THI CÔNG</t>
  </si>
  <si>
    <t>TUẦN 1</t>
  </si>
  <si>
    <t>TUẦN 2</t>
  </si>
  <si>
    <t>TUẦN 3</t>
  </si>
  <si>
    <t>TUẦN 4</t>
  </si>
  <si>
    <t>Tài liệu KH tháng (duyệt/tổng)</t>
  </si>
  <si>
    <t>Phát sinh chưa duyệt</t>
  </si>
  <si>
    <t>YC cung ứng chờ duyệt</t>
  </si>
  <si>
    <t>Bù tiến độ đang chạy</t>
  </si>
  <si>
    <t>KH KLCV tháng</t>
  </si>
  <si>
    <t>KQ KLCV tháng</t>
  </si>
  <si>
    <t>Đánh giá &amp; giải pháp tháng</t>
  </si>
  <si>
    <t>T1 KH</t>
  </si>
  <si>
    <t>T1 KQ</t>
  </si>
  <si>
    <t>T1 Đánh giá</t>
  </si>
  <si>
    <t>T2 KH</t>
  </si>
  <si>
    <t>T2 KQ</t>
  </si>
  <si>
    <t>T2 Đánh giá</t>
  </si>
  <si>
    <t>T3 KH</t>
  </si>
  <si>
    <t>T3 KQ</t>
  </si>
  <si>
    <t>T3 Đánh giá</t>
  </si>
  <si>
    <t>T4 KH</t>
  </si>
  <si>
    <t>T4 KQ</t>
  </si>
  <si>
    <t>T4 Đánh giá</t>
  </si>
  <si>
    <t>HT-PL02-01</t>
  </si>
  <si>
    <t>PL02</t>
  </si>
  <si>
    <t>Hạ tầng kỹ thuật</t>
  </si>
  <si>
    <t>HTKT quanh CV + nhà mẫu (Giao thông)</t>
  </si>
  <si>
    <t>An Dương</t>
  </si>
  <si>
    <t>Hoàn thiện</t>
  </si>
  <si>
    <t>Đã cấp</t>
  </si>
  <si>
    <t>Đã bàn giao</t>
  </si>
  <si>
    <t>Đã có KQ</t>
  </si>
  <si>
    <t>Đã CU</t>
  </si>
  <si>
    <t>Đã duyệt</t>
  </si>
  <si>
    <t>Đã ký PLHĐ</t>
  </si>
  <si>
    <t>Đúng tiến độ, đang hoàn thiện vỉa hè</t>
  </si>
  <si>
    <t>VSV_QLTC_TT.01</t>
  </si>
  <si>
    <t>PL10</t>
  </si>
  <si>
    <t>Xây dựng dân dụng</t>
  </si>
  <si>
    <t>CT-01: Thi công &amp; lắp đặt thiết bị Nhà mẫu</t>
  </si>
  <si>
    <t>HĐLCNT / Tổng thầu</t>
  </si>
  <si>
    <t>Chậm nhẹ do mưa + nền yếu; đang bù tiến độ, dự kiến đạt cuối T4</t>
  </si>
  <si>
    <t>Thiếu nhân lực ca đêm</t>
  </si>
  <si>
    <t>Mưa + phát sinh nền yếu</t>
  </si>
  <si>
    <t>Tăng ca bù KL</t>
  </si>
  <si>
    <t>2.1</t>
  </si>
  <si>
    <t>HM lớn</t>
  </si>
  <si>
    <t>Thi công cọc (thí nghiệm + đại trà)</t>
  </si>
  <si>
    <t>2.2</t>
  </si>
  <si>
    <t xml:space="preserve">Thi công móng, kết cấu thân, xây thô, trát </t>
  </si>
  <si>
    <t>2.3</t>
  </si>
  <si>
    <t>Thi công mái ngói, trần mặt ngoài</t>
  </si>
  <si>
    <t>2.4</t>
  </si>
  <si>
    <t>Thi công hàng rào</t>
  </si>
  <si>
    <t>2.5</t>
  </si>
  <si>
    <t>Thi công lan can ban công</t>
  </si>
  <si>
    <t>2.6</t>
  </si>
  <si>
    <t>Thi công sàn gỗ các loại</t>
  </si>
  <si>
    <t>2.7</t>
  </si>
  <si>
    <t>Thi công cửa nhôm kính</t>
  </si>
  <si>
    <t>2.8</t>
  </si>
  <si>
    <t>Thi công ốp lát mặt ngoài</t>
  </si>
  <si>
    <t>2.9</t>
  </si>
  <si>
    <t>Thi công hệ thống M&amp;E (điện, nước…)</t>
  </si>
  <si>
    <t>2.10</t>
  </si>
  <si>
    <t>Thi công cây xanh cảnh quan ngoài nhà</t>
  </si>
  <si>
    <t>2.11</t>
  </si>
  <si>
    <t>Cung cấp lắp đặt chiếu sáng mặt ngoài</t>
  </si>
  <si>
    <t>2.12</t>
  </si>
  <si>
    <t>Thi công bể bơi</t>
  </si>
  <si>
    <t>2.13</t>
  </si>
  <si>
    <t>Thi công nội thất liền tường, đồ rời</t>
  </si>
  <si>
    <t>2.14</t>
  </si>
  <si>
    <t>Thi công lắp đặt thiết bị, trang trí decor</t>
  </si>
  <si>
    <t>2.15</t>
  </si>
  <si>
    <t>Thi công lắp đặt rèm cửa</t>
  </si>
  <si>
    <t>2.16</t>
  </si>
  <si>
    <t>Thi công hệ thống smarthome</t>
  </si>
  <si>
    <t>Đang đánh giá</t>
  </si>
  <si>
    <t>Chưa CU</t>
  </si>
  <si>
    <t>2.17</t>
  </si>
  <si>
    <t>Thi công ốp, lát gạch trong nhà</t>
  </si>
  <si>
    <t>2.18</t>
  </si>
  <si>
    <t>Thi công Sơn, bả trong ngoài nhà</t>
  </si>
  <si>
    <t>2.19</t>
  </si>
  <si>
    <t>Thi công chống thấm</t>
  </si>
  <si>
    <t>2.20</t>
  </si>
  <si>
    <t>Thi công chống mối</t>
  </si>
  <si>
    <t>PL17</t>
  </si>
  <si>
    <t>CT-05: Thi công 28 căn SH03-KV2</t>
  </si>
  <si>
    <t>3.1</t>
  </si>
  <si>
    <t>Đã ký</t>
  </si>
  <si>
    <t>3.2</t>
  </si>
  <si>
    <t>Thi công móng, kết cấu thân, xây thô trát hoàn thiện</t>
  </si>
  <si>
    <t>3.3</t>
  </si>
  <si>
    <t>Đang TK</t>
  </si>
  <si>
    <t>Chưa có</t>
  </si>
  <si>
    <t>Chưa bàn giao</t>
  </si>
  <si>
    <t>Chưa LCNT</t>
  </si>
  <si>
    <t>3.4</t>
  </si>
  <si>
    <t>Thi công lan can ban công, mái sảnh</t>
  </si>
  <si>
    <t>3.5</t>
  </si>
  <si>
    <t>Thi công vách kính ngoài nhà</t>
  </si>
  <si>
    <t>3.6</t>
  </si>
  <si>
    <t>Thi công sơn bả</t>
  </si>
  <si>
    <t>3.7</t>
  </si>
  <si>
    <t>3.8</t>
  </si>
  <si>
    <t>3.9</t>
  </si>
  <si>
    <t>Thi công gỗ nhựa ngoài nhà</t>
  </si>
  <si>
    <t>PL14</t>
  </si>
  <si>
    <t>CT-02: Thi công 71 -KV1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</si>
  <si>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</si>
  <si>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</si>
  <si>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</si>
  <si>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</si>
  <si>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</si>
  <si>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</si>
  <si>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</si>
  <si>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</si>
  <si>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</si>
  <si>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PL15</t>
  </si>
  <si>
    <t>CT-03: Thi công nhà thấp tầng KV 3.1</t>
  </si>
  <si>
    <t>PL16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</si>
  <si>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</si>
  <si>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</si>
  <si>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</si>
  <si>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</si>
  <si>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</si>
  <si>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</si>
  <si>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</si>
  <si>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</si>
  <si>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</si>
  <si>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PL18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</si>
  <si>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</si>
  <si>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</si>
  <si>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</si>
  <si>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</si>
  <si>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</si>
  <si>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</si>
  <si>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</si>
  <si>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</si>
  <si>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</si>
  <si>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PL19</t>
  </si>
  <si>
    <t>CT-07: Thi công nhà thấp tầng KV 3.4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</si>
  <si>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</si>
  <si>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</si>
  <si>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</si>
  <si>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</si>
  <si>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</si>
  <si>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</si>
  <si>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</si>
  <si>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</si>
  <si>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</si>
  <si>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PL20</t>
  </si>
  <si>
    <t>CT-08: Thi công nhà thấp tầng KV 4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</si>
  <si>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</si>
  <si>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</si>
  <si>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</si>
  <si>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</si>
  <si>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</si>
  <si>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</si>
  <si>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</si>
  <si>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</si>
  <si>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</si>
  <si>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PL12</t>
  </si>
  <si>
    <t>Công trình phục vụ KD</t>
  </si>
  <si>
    <t>KD-09: Cảnh quan công viên ven sông</t>
  </si>
  <si>
    <t>9.1</t>
  </si>
  <si>
    <t>Cây xanh ven sông GĐ1</t>
  </si>
  <si>
    <t>9.2</t>
  </si>
  <si>
    <t>Công trình cảnh quan GĐ1</t>
  </si>
  <si>
    <t>9.3</t>
  </si>
  <si>
    <t>Cây xanh ven sông GĐ2</t>
  </si>
  <si>
    <t>9.4</t>
  </si>
  <si>
    <t>Công trình cảnh quan GĐ2</t>
  </si>
  <si>
    <t>PL21</t>
  </si>
  <si>
    <t>KD-02: Trung tâm TDTT</t>
  </si>
  <si>
    <t>10.1</t>
  </si>
  <si>
    <t>Bể bơi</t>
  </si>
  <si>
    <t>10.2</t>
  </si>
  <si>
    <t>Sân bóng</t>
  </si>
  <si>
    <t>10.3</t>
  </si>
  <si>
    <t>Nhà Locker</t>
  </si>
  <si>
    <t>10.4</t>
  </si>
  <si>
    <t>Hạng mục phụ trợ</t>
  </si>
  <si>
    <t>PL11</t>
  </si>
  <si>
    <t>KD-08: Cảnh quan công viên trung tâm</t>
  </si>
  <si>
    <t>11.1</t>
  </si>
  <si>
    <t>Khu vui chơi trẻ em</t>
  </si>
  <si>
    <t>Điều chỉnh TK</t>
  </si>
  <si>
    <t>11.2</t>
  </si>
  <si>
    <t>Cảnh quan còn lại</t>
  </si>
  <si>
    <t>PL09</t>
  </si>
  <si>
    <t>KD-05: Thi công các công trình phụ trợ phục vụ bán hàng (Đập tạm, Cổng chào, Điểm check-in, ..)</t>
  </si>
  <si>
    <t>12.1</t>
  </si>
  <si>
    <t>Công nghệ Âm thanh, ánh sáng</t>
  </si>
  <si>
    <t>SỔ 01 – HỒ SƠ TIỀN KHỞI CÔNG (lưu link sản phẩm các bước đã hoàn thành)</t>
  </si>
  <si>
    <t>STT</t>
  </si>
  <si>
    <t>Hạng mục</t>
  </si>
  <si>
    <t>Loại hồ sơ</t>
  </si>
  <si>
    <t>Tên sản phẩm / Số hiệu</t>
  </si>
  <si>
    <t>LINK lưu trữ</t>
  </si>
  <si>
    <t>Ngày HT</t>
  </si>
  <si>
    <t>Người lập</t>
  </si>
  <si>
    <t>Người duyệt</t>
  </si>
  <si>
    <t>TT duyệt</t>
  </si>
  <si>
    <t>CT-01 Nhà mẫu</t>
  </si>
  <si>
    <t>HSTKTC</t>
  </si>
  <si>
    <t>BVTC Nhà mẫu CT-01 Rev.B</t>
  </si>
  <si>
    <t>BVTC_CT01_RevB.pdf</t>
  </si>
  <si>
    <t>TVTK</t>
  </si>
  <si>
    <t>CĐT</t>
  </si>
  <si>
    <t>SPECS</t>
  </si>
  <si>
    <t>Chỉ dẫn kỹ thuật CT-01</t>
  </si>
  <si>
    <t>SPECS_CT01.pdf</t>
  </si>
  <si>
    <t>BOQ/KL</t>
  </si>
  <si>
    <t>BOQ CT-01 (PL10)</t>
  </si>
  <si>
    <t>BOQ_CT01_PL10.xlsx</t>
  </si>
  <si>
    <t>KQ LCNT</t>
  </si>
  <si>
    <t>QĐ phê duyệt KQ LCNT CT-01</t>
  </si>
  <si>
    <t>QD_KQLCNT_CT01.pdf</t>
  </si>
  <si>
    <t>HĐLCNT</t>
  </si>
  <si>
    <t>HĐCU</t>
  </si>
  <si>
    <t>HĐ cung ứng CT-01 số 12/2026</t>
  </si>
  <si>
    <t>HDCU_CT01_12.pdf</t>
  </si>
  <si>
    <t>P.KTKH</t>
  </si>
  <si>
    <t>PD KHCU</t>
  </si>
  <si>
    <t>QĐ duyệt KH cung ứng CT-01</t>
  </si>
  <si>
    <t>QD_KHCU_CT01.pdf</t>
  </si>
  <si>
    <t>Tổng thầu</t>
  </si>
  <si>
    <t>Ký PLHĐ</t>
  </si>
  <si>
    <t>PLHĐ CĐT–Tổng thầu CT-01</t>
  </si>
  <si>
    <t>PLHD_CT01.pdf</t>
  </si>
  <si>
    <t>PD KHTK</t>
  </si>
  <si>
    <t>QĐ duyệt KHTK CT-01</t>
  </si>
  <si>
    <t>QD_KHTK_CT01.pdf</t>
  </si>
  <si>
    <t>HTKT quanh CV</t>
  </si>
  <si>
    <t>BVTC HTKT quanh CV Rev.A</t>
  </si>
  <si>
    <t>BVTC_HT_PL02.pdf</t>
  </si>
  <si>
    <t>Chỉ dẫn KT HTKT</t>
  </si>
  <si>
    <t>SPECS_HT.pdf</t>
  </si>
  <si>
    <t>BOQ HTKT (PL02)</t>
  </si>
  <si>
    <t>BOQ_HT_PL02.xlsx</t>
  </si>
  <si>
    <t>QĐ KQ LCNT HTKT</t>
  </si>
  <si>
    <t>QD_KQLCNT_HT.pdf</t>
  </si>
  <si>
    <t>HĐ cung ứng HTKT</t>
  </si>
  <si>
    <t>HDCU_HT.pdf</t>
  </si>
  <si>
    <t>QĐ duyệt KHCU HTKT</t>
  </si>
  <si>
    <t>QD_KHCU_HT.pdf</t>
  </si>
  <si>
    <t>PLHĐ HTKT</t>
  </si>
  <si>
    <t>PLHD_HT.pdf</t>
  </si>
  <si>
    <t>QĐ duyệt KHTK HTKT</t>
  </si>
  <si>
    <t>QD_KHTK_HT.pdf</t>
  </si>
  <si>
    <t>SỔ 02 – KẾ HOẠCH TRIỂN KHAI THÁNG/TUẦN (tài liệu kèm theo, lập &amp; duyệt)</t>
  </si>
  <si>
    <t>Tháng</t>
  </si>
  <si>
    <t>Loại tài liệu</t>
  </si>
  <si>
    <t>Nội dung chính</t>
  </si>
  <si>
    <t>Đạt YCKT CĐT</t>
  </si>
  <si>
    <t>LINK tài liệu</t>
  </si>
  <si>
    <t>TT lập</t>
  </si>
  <si>
    <t>Ngày duyệt</t>
  </si>
  <si>
    <t>06/2026</t>
  </si>
  <si>
    <t>Biện pháp thi công</t>
  </si>
  <si>
    <t>BPTC cọc &amp; móng tháng 6</t>
  </si>
  <si>
    <t>Có</t>
  </si>
  <si>
    <t>BPTC_CT01_T6.pdf</t>
  </si>
  <si>
    <t>Đã lập</t>
  </si>
  <si>
    <t>TVGS</t>
  </si>
  <si>
    <t>Kế hoạch cung ứng</t>
  </si>
  <si>
    <t>KH cung ứng vật tư tháng 6</t>
  </si>
  <si>
    <t>KHCU_CT01_T6.xlsx</t>
  </si>
  <si>
    <t>Biểu đồ nhân lực</t>
  </si>
  <si>
    <t>Biểu đồ nhân lực tháng 6</t>
  </si>
  <si>
    <t>BĐ_NhanLuc_T6.pdf</t>
  </si>
  <si>
    <t>Biểu đồ máy móc thiết bị</t>
  </si>
  <si>
    <t>Biểu đồ thiết bị tháng 6</t>
  </si>
  <si>
    <t>BĐ_ThietBi_T6.pdf</t>
  </si>
  <si>
    <t>Chờ duyệt</t>
  </si>
  <si>
    <t>Biểu đồ cung ứng</t>
  </si>
  <si>
    <t>Biểu đồ cung ứng VT tháng 6</t>
  </si>
  <si>
    <t>BĐ_CungUng_T6.pdf</t>
  </si>
  <si>
    <t>SỔ 03 – PHÁT SINH &amp; SAI KHÁC (làm rõ – ghi nhận – phê duyệt – cập nhật điều chỉnh)</t>
  </si>
  <si>
    <t>Mã PS</t>
  </si>
  <si>
    <t>Ngày PS</t>
  </si>
  <si>
    <t>Loại</t>
  </si>
  <si>
    <t>Mô tả</t>
  </si>
  <si>
    <t>Nguyên nhân</t>
  </si>
  <si>
    <t>Đề xuất xử lý</t>
  </si>
  <si>
    <t>Giá trị (tỷ)</t>
  </si>
  <si>
    <t>Ảnh hưởng TĐ (ngày)</t>
  </si>
  <si>
    <t>LINK hồ sơ</t>
  </si>
  <si>
    <t>Nội dung điều chỉnh (KH→KQ)</t>
  </si>
  <si>
    <t>Ghi chú</t>
  </si>
  <si>
    <t>PS.CT01.01</t>
  </si>
  <si>
    <t>Móng nhà mẫu</t>
  </si>
  <si>
    <t>Phát sinh khối lượng</t>
  </si>
  <si>
    <t>Gặp nền đất yếu cục bộ, tăng KL xử lý nền</t>
  </si>
  <si>
    <t>Địa chất khác hồ sơ khảo sát</t>
  </si>
  <si>
    <t>Bổ sung cọc tre + thay nền cát</t>
  </si>
  <si>
    <t>PS01_NenYeu.pdf</t>
  </si>
  <si>
    <t>Cập nhật BPTC &amp; dự toán bổ sung; điều chỉnh KH tuần 3-4</t>
  </si>
  <si>
    <t>PS.CT01.02</t>
  </si>
  <si>
    <t>Kết cấu thân T1</t>
  </si>
  <si>
    <t>Sai khác thiết kế</t>
  </si>
  <si>
    <t>Cao độ dầm sàn lệch so bản vẽ</t>
  </si>
  <si>
    <t>Lỗi bản vẽ phối hợp</t>
  </si>
  <si>
    <t>RFI điều chỉnh, phát hành bản vẽ Rev.C</t>
  </si>
  <si>
    <t>PS02_RFI.pdf</t>
  </si>
  <si>
    <t>Bản vẽ Rev.C đã phát hành, cập nhật KL</t>
  </si>
  <si>
    <t>SỔ 04 – CUNG ỨNG ĐẶC THÙ / ĐỘT XUẤT (ghi nhận – phê duyệt – kiểm soát)</t>
  </si>
  <si>
    <t>Mã YC</t>
  </si>
  <si>
    <t>Ngày YC</t>
  </si>
  <si>
    <t>Loại YC</t>
  </si>
  <si>
    <t>Vật tư / Thiết bị</t>
  </si>
  <si>
    <t>Đặc tả KT / Lý do</t>
  </si>
  <si>
    <t>KL</t>
  </si>
  <si>
    <t>ĐVT</t>
  </si>
  <si>
    <t>Trong/Ngoài HĐCU</t>
  </si>
  <si>
    <t>Ngày cần</t>
  </si>
  <si>
    <t>TT cung ứng</t>
  </si>
  <si>
    <t>YC.CT01.01</t>
  </si>
  <si>
    <t>Sảnh nhà mẫu</t>
  </si>
  <si>
    <t>Đặc thù</t>
  </si>
  <si>
    <t>Đá marble nhập khẩu ốp sảnh</t>
  </si>
  <si>
    <t>Theo yêu cầu thẩm mỹ CĐT, ngoài danh mục VT chuẩn</t>
  </si>
  <si>
    <t>m2</t>
  </si>
  <si>
    <t>Ngoài HĐCU</t>
  </si>
  <si>
    <t>YC01_Marble.pdf</t>
  </si>
  <si>
    <t>Chưa cung ứng</t>
  </si>
  <si>
    <t>YC.CT01.02</t>
  </si>
  <si>
    <t>Đổ bê tông móng</t>
  </si>
  <si>
    <t>Đột xuất</t>
  </si>
  <si>
    <t>Thuê bơm bê tông cần dài</t>
  </si>
  <si>
    <t>Mặt bằng chật, phát sinh đột xuất</t>
  </si>
  <si>
    <t>ca</t>
  </si>
  <si>
    <t>Trong HĐCU</t>
  </si>
  <si>
    <t>YC02_Bom.pdf</t>
  </si>
  <si>
    <t>BĐH</t>
  </si>
  <si>
    <t>Đã cung ứng</t>
  </si>
  <si>
    <t>SỔ 05 – BÙ TIẾN ĐỘ (chậm tiến độ: tăng ca / đổi BPTC / thêm nguồn lực)</t>
  </si>
  <si>
    <t>Ngày phát hiện</t>
  </si>
  <si>
    <t>Mức chậm (ngày)</t>
  </si>
  <si>
    <t>Giải pháp bù</t>
  </si>
  <si>
    <t>Chi tiết giải pháp</t>
  </si>
  <si>
    <t>Mốc cam kết HT</t>
  </si>
  <si>
    <t>LINK phương án</t>
  </si>
  <si>
    <t>KQ thực hiện bù</t>
  </si>
  <si>
    <t>TT thực hiện</t>
  </si>
  <si>
    <t>Cọc + móng CT-01</t>
  </si>
  <si>
    <t>Mưa kéo dài + phát sinh nền yếu</t>
  </si>
  <si>
    <t>Tăng ca</t>
  </si>
  <si>
    <t>Tăng ca tối 2h/ngày, bổ sung 1 máy ép cọc, điều phối lại mũi thi công</t>
  </si>
  <si>
    <t>PA_BuTienDo_CT01.pdf</t>
  </si>
  <si>
    <t>BĐH/CĐT</t>
  </si>
  <si>
    <t>Đang theo dõi, bù được 2/5 ngày</t>
  </si>
  <si>
    <t>Đang thực hiện</t>
  </si>
  <si>
    <t>DANH MỤC CHUẨN (dropdown – có thể bổ sung, KHÔNG đổi tên cột)</t>
  </si>
  <si>
    <t>TT Ký PLHĐ</t>
  </si>
  <si>
    <t>Mức độ</t>
  </si>
  <si>
    <t>Cấp</t>
  </si>
  <si>
    <t>TT duyệt (chung)</t>
  </si>
  <si>
    <t>TT bù tiến độ</t>
  </si>
  <si>
    <t>Loại hồ sơ tiền KC</t>
  </si>
  <si>
    <t>Loại tài liệu KH tháng</t>
  </si>
  <si>
    <t>Loại phát sinh</t>
  </si>
  <si>
    <t>Loại YC cung ứng</t>
  </si>
  <si>
    <t>Chưa có TK</t>
  </si>
  <si>
    <t>Chưa lập</t>
  </si>
  <si>
    <t>Chưa ký</t>
  </si>
  <si>
    <t>Chưa trình</t>
  </si>
  <si>
    <t>Cao</t>
  </si>
  <si>
    <t>Gói thầu</t>
  </si>
  <si>
    <t>Đang lập</t>
  </si>
  <si>
    <t>Đang mời thầu</t>
  </si>
  <si>
    <t>Đang trình ký</t>
  </si>
  <si>
    <t>Đang lập BPTC</t>
  </si>
  <si>
    <t>Đang duyệt</t>
  </si>
  <si>
    <t>Trung bình</t>
  </si>
  <si>
    <t>Đang cung ứng</t>
  </si>
  <si>
    <t>Đã hoàn thành</t>
  </si>
  <si>
    <t>Thêm nhân lực</t>
  </si>
  <si>
    <t>Không</t>
  </si>
  <si>
    <t>Điều chỉnh</t>
  </si>
  <si>
    <t>Thấp</t>
  </si>
  <si>
    <t>HM thành phần</t>
  </si>
  <si>
    <t>Đóng</t>
  </si>
  <si>
    <t>Thay đổi vật tư</t>
  </si>
  <si>
    <t>Thay đổi BPTC</t>
  </si>
  <si>
    <t>Đã phát hành</t>
  </si>
  <si>
    <t>Theo đợt TC</t>
  </si>
  <si>
    <t>Thay đổi biện pháp</t>
  </si>
  <si>
    <t>Thêm thiết bị</t>
  </si>
  <si>
    <t>Từ chối</t>
  </si>
  <si>
    <t>Khác</t>
  </si>
  <si>
    <t>Điều phối lại</t>
  </si>
  <si>
    <t>CT-04: Thi công nhà thấp tầng KV 3.2</t>
  </si>
  <si>
    <t>CT-06: Thi công nhà thấp tầng KV 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</si>
</sst>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6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rgb="FF1F3864"/>
      <name val="Arial"/>
      <family val="2"/>
    </font>
    <font>
      <sz val="9"/>
      <color rgb="FF000000"/>
      <name val="Arial"/>
      <family val="2"/>
    </font>
    <font>
      <u/>
      <sz val="9"/>
      <color rgb="FF0563C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C00000"/>
      <name val="Arial"/>
      <family val="2"/>
    </font>
    <font>
      <sz val="8"/>
      <name val="Calibri"/>
      <family val="2"/>
      <charset val="1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scheme val="minor"/>
    </font>
    <font>
      <b/>
      <sz val="10"/>
      <color rgb="FFFF0000"/>
      <name val="Calibri"/>
      <scheme val="minor"/>
    </font>
    <font>
      <b/>
      <sz val="10"/>
      <color rgb="FFFFFFFF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75B6"/>
        <bgColor rgb="FF2E7D8F"/>
      </patternFill>
    </fill>
    <fill>
      <patternFill patternType="solid">
        <fgColor rgb="FF2E7D8F"/>
        <bgColor rgb="FF2E75B6"/>
      </patternFill>
    </fill>
    <fill>
      <patternFill patternType="solid">
        <fgColor rgb="FF548235"/>
        <bgColor rgb="FF55708F"/>
      </patternFill>
    </fill>
    <fill>
      <patternFill patternType="solid">
        <fgColor rgb="FFBF8F00"/>
        <bgColor rgb="FF9C6500"/>
      </patternFill>
    </fill>
    <fill>
      <patternFill patternType="solid">
        <fgColor rgb="FFC00000"/>
        <bgColor rgb="FF9C0006"/>
      </patternFill>
    </fill>
    <fill>
      <patternFill patternType="solid">
        <fgColor rgb="FF7030A0"/>
        <bgColor rgb="FF333399"/>
      </patternFill>
    </fill>
    <fill>
      <patternFill patternType="solid">
        <fgColor rgb="FF55708F"/>
        <bgColor rgb="FF2E7D8F"/>
      </patternFill>
    </fill>
    <fill>
      <patternFill patternType="solid">
        <fgColor rgb="FFEDEDED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D8A8"/>
      </patternFill>
    </fill>
    <fill>
      <patternFill patternType="solid">
        <fgColor rgb="FFFFD8A8"/>
        <bgColor rgb="FFFFEB9C"/>
      </patternFill>
    </fill>
    <fill>
      <patternFill patternType="solid">
        <fgColor rgb="FFFFEB9C"/>
        <bgColor rgb="FFFFD8A8"/>
      </patternFill>
    </fill>
    <fill>
      <patternFill patternType="solid">
        <fgColor rgb="FF7030A0"/>
        <bgColor rgb="FF993366"/>
      </patternFill>
    </fill>
    <fill>
      <patternFill patternType="solid">
        <fgColor theme="9"/>
        <bgColor rgb="FF993366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2E7D8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3" fillId="1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3" fillId="1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164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6" fillId="15" borderId="2" xfId="0" applyFont="1" applyFill="1" applyBorder="1" applyAlignment="1">
      <alignment horizontal="left" vertical="center" indent="2"/>
    </xf>
    <xf numFmtId="0" fontId="16" fillId="15" borderId="2" xfId="0" applyFont="1" applyFill="1" applyBorder="1" applyAlignment="1">
      <alignment vertical="center"/>
    </xf>
    <xf numFmtId="0" fontId="20" fillId="17" borderId="2" xfId="0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 wrapText="1"/>
    </xf>
    <xf numFmtId="0" fontId="18" fillId="0" borderId="2" xfId="0" applyFont="1" applyBorder="1"/>
    <xf numFmtId="0" fontId="17" fillId="19" borderId="0" xfId="0" applyFont="1" applyFill="1"/>
    <xf numFmtId="0" fontId="19" fillId="19" borderId="0" xfId="0" applyFont="1" applyFill="1"/>
    <xf numFmtId="0" fontId="20" fillId="17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Continuous" vertical="center" wrapText="1"/>
    </xf>
    <xf numFmtId="0" fontId="16" fillId="4" borderId="2" xfId="0" applyFont="1" applyFill="1" applyBorder="1" applyAlignment="1">
      <alignment horizontal="centerContinuous" vertical="center" wrapText="1"/>
    </xf>
    <xf numFmtId="0" fontId="16" fillId="5" borderId="2" xfId="0" applyFont="1" applyFill="1" applyBorder="1" applyAlignment="1">
      <alignment horizontal="centerContinuous" vertical="center" wrapText="1"/>
    </xf>
    <xf numFmtId="0" fontId="16" fillId="6" borderId="2" xfId="0" applyFont="1" applyFill="1" applyBorder="1" applyAlignment="1">
      <alignment horizontal="centerContinuous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9" fontId="20" fillId="0" borderId="2" xfId="0" applyNumberFormat="1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4" fontId="20" fillId="9" borderId="2" xfId="0" applyNumberFormat="1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left" vertical="center" wrapText="1"/>
    </xf>
    <xf numFmtId="4" fontId="20" fillId="21" borderId="2" xfId="0" applyNumberFormat="1" applyFont="1" applyFill="1" applyBorder="1" applyAlignment="1">
      <alignment horizontal="center" vertical="center" wrapText="1"/>
    </xf>
    <xf numFmtId="0" fontId="21" fillId="21" borderId="2" xfId="0" applyFont="1" applyFill="1" applyBorder="1" applyAlignment="1">
      <alignment horizontal="center" vertical="center" wrapText="1"/>
    </xf>
    <xf numFmtId="9" fontId="20" fillId="21" borderId="2" xfId="0" applyNumberFormat="1" applyFont="1" applyFill="1" applyBorder="1" applyAlignment="1">
      <alignment horizontal="center" vertical="center" wrapText="1"/>
    </xf>
    <xf numFmtId="0" fontId="18" fillId="21" borderId="0" xfId="0" applyFont="1" applyFill="1"/>
    <xf numFmtId="14" fontId="20" fillId="21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Continuous" vertical="center"/>
    </xf>
    <xf numFmtId="0" fontId="16" fillId="3" borderId="2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6" fillId="5" borderId="2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20" fillId="0" borderId="2" xfId="0" quotePrefix="1" applyFont="1" applyBorder="1" applyAlignment="1">
      <alignment horizontal="center" vertical="center" wrapText="1"/>
    </xf>
    <xf numFmtId="0" fontId="23" fillId="21" borderId="2" xfId="0" applyFont="1" applyFill="1" applyBorder="1" applyAlignment="1">
      <alignment horizontal="center" vertical="center" wrapText="1"/>
    </xf>
    <xf numFmtId="0" fontId="23" fillId="21" borderId="2" xfId="0" applyFont="1" applyFill="1" applyBorder="1" applyAlignment="1">
      <alignment horizontal="left" vertical="center" wrapText="1"/>
    </xf>
    <xf numFmtId="14" fontId="23" fillId="21" borderId="2" xfId="0" applyNumberFormat="1" applyFont="1" applyFill="1" applyBorder="1" applyAlignment="1">
      <alignment horizontal="center" vertical="center" wrapText="1"/>
    </xf>
    <xf numFmtId="4" fontId="23" fillId="21" borderId="2" xfId="0" applyNumberFormat="1" applyFont="1" applyFill="1" applyBorder="1" applyAlignment="1">
      <alignment horizontal="center" vertical="center" wrapText="1"/>
    </xf>
    <xf numFmtId="0" fontId="24" fillId="21" borderId="2" xfId="0" applyFont="1" applyFill="1" applyBorder="1" applyAlignment="1">
      <alignment horizontal="center" vertical="center" wrapText="1"/>
    </xf>
    <xf numFmtId="9" fontId="23" fillId="21" borderId="2" xfId="0" applyNumberFormat="1" applyFont="1" applyFill="1" applyBorder="1" applyAlignment="1">
      <alignment horizontal="center" vertical="center" wrapText="1"/>
    </xf>
    <xf numFmtId="14" fontId="22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14" fillId="0" borderId="0" xfId="0" applyFont="1"/>
    <xf numFmtId="0" fontId="25" fillId="20" borderId="4" xfId="0" applyFont="1" applyFill="1" applyBorder="1" applyAlignment="1">
      <alignment horizontal="center" vertical="center"/>
    </xf>
    <xf numFmtId="0" fontId="25" fillId="20" borderId="5" xfId="0" applyFont="1" applyFill="1" applyBorder="1" applyAlignment="1">
      <alignment horizontal="center" vertical="center"/>
    </xf>
    <xf numFmtId="0" fontId="25" fillId="20" borderId="6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9">
    <dxf>
      <font>
        <b/>
        <color rgb="FF9C5500"/>
      </font>
      <fill>
        <patternFill>
          <bgColor rgb="FFFFD8A8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5500"/>
      </font>
      <fill>
        <patternFill>
          <bgColor rgb="FFFFD8A8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EDEDED"/>
      <rgbColor rgb="FFCCFFFF"/>
      <rgbColor rgb="FF660066"/>
      <rgbColor rgb="FFFF8080"/>
      <rgbColor rgb="FF0563C1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8A8"/>
      <rgbColor rgb="FF2E75B6"/>
      <rgbColor rgb="FF33CCCC"/>
      <rgbColor rgb="FF99CC00"/>
      <rgbColor rgb="FFFFCC00"/>
      <rgbColor rgb="FFBF8F00"/>
      <rgbColor rgb="FFFF6600"/>
      <rgbColor rgb="FF55708F"/>
      <rgbColor rgb="FF548235"/>
      <rgbColor rgb="FF1F3864"/>
      <rgbColor rgb="FF2E7D8F"/>
      <rgbColor rgb="FF003300"/>
      <rgbColor rgb="FF333300"/>
      <rgbColor rgb="FF7F2A2A"/>
      <rgbColor rgb="FF9C55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vsv-pmu.sharepoint.com/HSDA/" TargetMode="External"/><Relationship Id="rId13" Type="http://schemas.openxmlformats.org/officeDocument/2006/relationships/hyperlink" Target="https://vsv-pmu.sharepoint.com/HSDA/" TargetMode="External"/><Relationship Id="rId3" Type="http://schemas.openxmlformats.org/officeDocument/2006/relationships/hyperlink" Target="https://vsv-pmu.sharepoint.com/HSDA/" TargetMode="External"/><Relationship Id="rId7" Type="http://schemas.openxmlformats.org/officeDocument/2006/relationships/hyperlink" Target="https://vsv-pmu.sharepoint.com/HSDA/" TargetMode="External"/><Relationship Id="rId12" Type="http://schemas.openxmlformats.org/officeDocument/2006/relationships/hyperlink" Target="https://vsv-pmu.sharepoint.com/HSDA/" TargetMode="External"/><Relationship Id="rId2" Type="http://schemas.openxmlformats.org/officeDocument/2006/relationships/hyperlink" Target="https://vsv-pmu.sharepoint.com/HSDA/" TargetMode="External"/><Relationship Id="rId16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Relationship Id="rId6" Type="http://schemas.openxmlformats.org/officeDocument/2006/relationships/hyperlink" Target="https://vsv-pmu.sharepoint.com/HSDA/" TargetMode="External"/><Relationship Id="rId11" Type="http://schemas.openxmlformats.org/officeDocument/2006/relationships/hyperlink" Target="https://vsv-pmu.sharepoint.com/HSDA/" TargetMode="External"/><Relationship Id="rId5" Type="http://schemas.openxmlformats.org/officeDocument/2006/relationships/hyperlink" Target="https://vsv-pmu.sharepoint.com/HSDA/" TargetMode="External"/><Relationship Id="rId15" Type="http://schemas.openxmlformats.org/officeDocument/2006/relationships/hyperlink" Target="https://vsv-pmu.sharepoint.com/HSDA/" TargetMode="External"/><Relationship Id="rId10" Type="http://schemas.openxmlformats.org/officeDocument/2006/relationships/hyperlink" Target="https://vsv-pmu.sharepoint.com/HSDA/" TargetMode="External"/><Relationship Id="rId4" Type="http://schemas.openxmlformats.org/officeDocument/2006/relationships/hyperlink" Target="https://vsv-pmu.sharepoint.com/HSDA/" TargetMode="External"/><Relationship Id="rId9" Type="http://schemas.openxmlformats.org/officeDocument/2006/relationships/hyperlink" Target="https://vsv-pmu.sharepoint.com/HSDA/" TargetMode="External"/><Relationship Id="rId14" Type="http://schemas.openxmlformats.org/officeDocument/2006/relationships/hyperlink" Target="https://vsv-pmu.sharepoint.com/HSDA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vsv-pmu.sharepoint.com/HSDA/" TargetMode="External"/><Relationship Id="rId2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Relationship Id="rId5" Type="http://schemas.openxmlformats.org/officeDocument/2006/relationships/hyperlink" Target="https://vsv-pmu.sharepoint.com/HSDA/" TargetMode="External"/><Relationship Id="rId4" Type="http://schemas.openxmlformats.org/officeDocument/2006/relationships/hyperlink" Target="https://vsv-pmu.sharepoint.com/HSDA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vsv-pmu.sharepoint.com/HS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B2:B3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18" customWidth="1"/>
  </cols>
  <sheetData>
    <row r="2" spans="2:2" ht="18" x14ac:dyDescent="0.25">
      <c r="B2" s="1" t="s">
        <v>0</v>
      </c>
    </row>
    <row r="3" spans="2:2" ht="13.5" customHeight="1" x14ac:dyDescent="0.25">
      <c r="B3" s="2"/>
    </row>
    <row r="4" spans="2:2" ht="19.5" customHeight="1" x14ac:dyDescent="0.25">
      <c r="B4" s="3" t="s">
        <v>1</v>
      </c>
    </row>
    <row r="5" spans="2:2" ht="30" customHeight="1" x14ac:dyDescent="0.25">
      <c r="B5" s="2" t="s">
        <v>2</v>
      </c>
    </row>
    <row r="6" spans="2:2" ht="30" customHeight="1" x14ac:dyDescent="0.25">
      <c r="B6" s="2" t="s">
        <v>3</v>
      </c>
    </row>
    <row r="7" spans="2:2" ht="30" customHeight="1" x14ac:dyDescent="0.25">
      <c r="B7" s="2" t="s">
        <v>4</v>
      </c>
    </row>
    <row r="8" spans="2:2" ht="30" customHeight="1" x14ac:dyDescent="0.25">
      <c r="B8" s="2" t="s">
        <v>5</v>
      </c>
    </row>
    <row r="9" spans="2:2" ht="30" customHeight="1" x14ac:dyDescent="0.25">
      <c r="B9" s="2" t="s">
        <v>6</v>
      </c>
    </row>
    <row r="10" spans="2:2" ht="30" customHeight="1" x14ac:dyDescent="0.25">
      <c r="B10" s="2" t="s">
        <v>7</v>
      </c>
    </row>
    <row r="11" spans="2:2" ht="30" customHeight="1" x14ac:dyDescent="0.25">
      <c r="B11" s="2" t="s">
        <v>8</v>
      </c>
    </row>
    <row r="12" spans="2:2" ht="13.5" customHeight="1" x14ac:dyDescent="0.25">
      <c r="B12" s="2"/>
    </row>
    <row r="13" spans="2:2" ht="19.5" customHeight="1" x14ac:dyDescent="0.25">
      <c r="B13" s="3" t="s">
        <v>9</v>
      </c>
    </row>
    <row r="14" spans="2:2" ht="30" customHeight="1" x14ac:dyDescent="0.25">
      <c r="B14" s="2" t="s">
        <v>10</v>
      </c>
    </row>
    <row r="15" spans="2:2" ht="13.5" customHeight="1" x14ac:dyDescent="0.25">
      <c r="B15" s="2"/>
    </row>
    <row r="16" spans="2:2" ht="19.5" customHeight="1" x14ac:dyDescent="0.25">
      <c r="B16" s="3" t="s">
        <v>11</v>
      </c>
    </row>
    <row r="17" spans="2:2" ht="30" customHeight="1" x14ac:dyDescent="0.25">
      <c r="B17" s="2" t="s">
        <v>12</v>
      </c>
    </row>
    <row r="18" spans="2:2" ht="30" customHeight="1" x14ac:dyDescent="0.25">
      <c r="B18" s="2" t="s">
        <v>13</v>
      </c>
    </row>
    <row r="19" spans="2:2" ht="30" customHeight="1" x14ac:dyDescent="0.25">
      <c r="B19" s="2" t="s">
        <v>14</v>
      </c>
    </row>
    <row r="20" spans="2:2" ht="13.5" customHeight="1" x14ac:dyDescent="0.25">
      <c r="B20" s="2"/>
    </row>
    <row r="21" spans="2:2" ht="19.5" customHeight="1" x14ac:dyDescent="0.25">
      <c r="B21" s="3" t="s">
        <v>15</v>
      </c>
    </row>
    <row r="22" spans="2:2" ht="30" customHeight="1" x14ac:dyDescent="0.25">
      <c r="B22" s="2" t="s">
        <v>16</v>
      </c>
    </row>
    <row r="23" spans="2:2" ht="30" customHeight="1" x14ac:dyDescent="0.25">
      <c r="B23" s="2" t="s">
        <v>17</v>
      </c>
    </row>
    <row r="24" spans="2:2" ht="13.5" customHeight="1" x14ac:dyDescent="0.25">
      <c r="B24" s="2"/>
    </row>
    <row r="25" spans="2:2" ht="19.5" customHeight="1" x14ac:dyDescent="0.25">
      <c r="B25" s="3" t="s">
        <v>18</v>
      </c>
    </row>
    <row r="26" spans="2:2" ht="30" customHeight="1" x14ac:dyDescent="0.25">
      <c r="B26" s="2" t="s">
        <v>19</v>
      </c>
    </row>
    <row r="27" spans="2:2" ht="30" customHeight="1" x14ac:dyDescent="0.25">
      <c r="B27" s="2" t="s">
        <v>20</v>
      </c>
    </row>
    <row r="28" spans="2:2" ht="30" customHeight="1" x14ac:dyDescent="0.25">
      <c r="B28" s="2" t="s">
        <v>21</v>
      </c>
    </row>
    <row r="29" spans="2:2" ht="13.5" customHeight="1" x14ac:dyDescent="0.25">
      <c r="B29" s="2"/>
    </row>
    <row r="30" spans="2:2" ht="19.5" customHeight="1" x14ac:dyDescent="0.25">
      <c r="B30" s="3" t="s">
        <v>22</v>
      </c>
    </row>
    <row r="31" spans="2:2" ht="30" customHeight="1" x14ac:dyDescent="0.25">
      <c r="B31" s="2" t="s">
        <v>23</v>
      </c>
    </row>
    <row r="32" spans="2:2" ht="13.5" customHeight="1" x14ac:dyDescent="0.25">
      <c r="B32" s="2"/>
    </row>
    <row r="33" spans="2:2" ht="19.5" customHeight="1" x14ac:dyDescent="0.25">
      <c r="B33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B2:C31"/>
  <sheetViews>
    <sheetView showGridLines="0" zoomScaleNormal="100" workbookViewId="0">
      <pane ySplit="4" topLeftCell="A10" activePane="bottomLeft" state="frozen"/>
      <selection pane="bottomLeft" activeCell="C29" sqref="B11:C29"/>
    </sheetView>
  </sheetViews>
  <sheetFormatPr defaultColWidth="8.7109375" defaultRowHeight="15" x14ac:dyDescent="0.25"/>
  <cols>
    <col min="1" max="1" width="3" customWidth="1"/>
    <col min="2" max="2" width="42" customWidth="1"/>
    <col min="3" max="3" width="16" customWidth="1"/>
    <col min="4" max="4" width="3" customWidth="1"/>
  </cols>
  <sheetData>
    <row r="2" spans="2:3" ht="18" x14ac:dyDescent="0.25">
      <c r="B2" s="78" t="s">
        <v>25</v>
      </c>
      <c r="C2" s="78"/>
    </row>
    <row r="3" spans="2:3" x14ac:dyDescent="0.25">
      <c r="B3" s="79" t="s">
        <v>26</v>
      </c>
      <c r="C3" s="79"/>
    </row>
    <row r="5" spans="2:3" x14ac:dyDescent="0.25">
      <c r="B5" s="19" t="s">
        <v>27</v>
      </c>
      <c r="C5" s="20"/>
    </row>
    <row r="6" spans="2:3" x14ac:dyDescent="0.25">
      <c r="B6" s="21" t="s">
        <v>28</v>
      </c>
      <c r="C6" s="22">
        <f>COUNTA('BANG TONG HOP'!B6:B136)</f>
        <v>13</v>
      </c>
    </row>
    <row r="7" spans="2:3" x14ac:dyDescent="0.25">
      <c r="B7" s="21" t="s">
        <v>29</v>
      </c>
      <c r="C7" s="23">
        <f>COUNTIF('BANG TONG HOP'!AC6:AC136,"ĐỦ ĐK*")</f>
        <v>1</v>
      </c>
    </row>
    <row r="8" spans="2:3" x14ac:dyDescent="0.25">
      <c r="B8" s="21" t="s">
        <v>30</v>
      </c>
      <c r="C8" s="24">
        <f>COUNTIF('BANG TONG HOP'!AC6:AC136,"THIẾU*")</f>
        <v>12</v>
      </c>
    </row>
    <row r="9" spans="2:3" x14ac:dyDescent="0.25">
      <c r="B9" s="21" t="s">
        <v>31</v>
      </c>
      <c r="C9" s="22">
        <f>COUNT('BANG TONG HOP'!AD6:AD136)</f>
        <v>13</v>
      </c>
    </row>
    <row r="10" spans="2:3" x14ac:dyDescent="0.25">
      <c r="B10" s="21" t="s">
        <v>32</v>
      </c>
      <c r="C10" s="22">
        <f>COUNTIF('01_HSo TienKC'!J3:J100,"Đã duyệt")</f>
        <v>16</v>
      </c>
    </row>
    <row r="12" spans="2:3" x14ac:dyDescent="0.25">
      <c r="B12" s="25" t="s">
        <v>33</v>
      </c>
      <c r="C12" s="26"/>
    </row>
    <row r="13" spans="2:3" x14ac:dyDescent="0.25">
      <c r="B13" s="21" t="s">
        <v>34</v>
      </c>
      <c r="C13" s="22" t="str">
        <f>COUNTIF('02_KH Thang_Tuan'!J3:J100,"Đã duyệt")&amp;" / "&amp;COUNTA('02_KH Thang_Tuan'!B3:B100)</f>
        <v>4 / 5</v>
      </c>
    </row>
    <row r="14" spans="2:3" x14ac:dyDescent="0.25">
      <c r="B14" s="21" t="s">
        <v>35</v>
      </c>
      <c r="C14" s="27">
        <f>SUM('BANG TONG HOP'!AJ6:AJ136)</f>
        <v>1</v>
      </c>
    </row>
    <row r="15" spans="2:3" x14ac:dyDescent="0.25">
      <c r="B15" s="21" t="s">
        <v>36</v>
      </c>
      <c r="C15" s="27">
        <f>SUM('BANG TONG HOP'!AK6:AK136)</f>
        <v>1</v>
      </c>
    </row>
    <row r="16" spans="2:3" x14ac:dyDescent="0.25">
      <c r="B16" s="21" t="s">
        <v>37</v>
      </c>
      <c r="C16" s="27">
        <f>SUM('BANG TONG HOP'!AL6:AL136)</f>
        <v>1</v>
      </c>
    </row>
    <row r="18" spans="2:3" x14ac:dyDescent="0.25">
      <c r="B18" s="28" t="s">
        <v>38</v>
      </c>
      <c r="C18" s="29"/>
    </row>
    <row r="19" spans="2:3" x14ac:dyDescent="0.25">
      <c r="B19" s="21" t="s">
        <v>39</v>
      </c>
      <c r="C19" s="24" t="e">
        <f>COUNTIF('BANG TONG HOP'!#REF!,"ĐỎ*")</f>
        <v>#REF!</v>
      </c>
    </row>
    <row r="20" spans="2:3" x14ac:dyDescent="0.25">
      <c r="B20" s="21" t="s">
        <v>40</v>
      </c>
      <c r="C20" s="27" t="e">
        <f>COUNTIF('BANG TONG HOP'!#REF!,"CAM*")</f>
        <v>#REF!</v>
      </c>
    </row>
    <row r="21" spans="2:3" x14ac:dyDescent="0.25">
      <c r="B21" s="21" t="s">
        <v>41</v>
      </c>
      <c r="C21" s="30" t="e">
        <f>COUNTIF('BANG TONG HOP'!#REF!,"VÀNG*")</f>
        <v>#REF!</v>
      </c>
    </row>
    <row r="22" spans="2:3" x14ac:dyDescent="0.25">
      <c r="B22" s="21" t="s">
        <v>42</v>
      </c>
      <c r="C22" s="23" t="e">
        <f>COUNTIF('BANG TONG HOP'!#REF!,"XANH*")</f>
        <v>#REF!</v>
      </c>
    </row>
    <row r="23" spans="2:3" x14ac:dyDescent="0.25">
      <c r="B23" s="21" t="s">
        <v>43</v>
      </c>
      <c r="C23" s="24" t="e">
        <f>COUNTIF('BANG TONG HOP'!#REF!,"Cao")</f>
        <v>#REF!</v>
      </c>
    </row>
    <row r="25" spans="2:3" x14ac:dyDescent="0.25">
      <c r="B25" s="31" t="s">
        <v>44</v>
      </c>
      <c r="C25" s="32"/>
    </row>
    <row r="26" spans="2:3" x14ac:dyDescent="0.25">
      <c r="B26" s="21" t="s">
        <v>45</v>
      </c>
      <c r="C26" s="33">
        <f>SUM('BANG TONG HOP'!I6:I136)</f>
        <v>341.63000000000005</v>
      </c>
    </row>
    <row r="27" spans="2:3" x14ac:dyDescent="0.25">
      <c r="B27" s="21" t="s">
        <v>46</v>
      </c>
      <c r="C27" s="33">
        <f>SUM('BANG TONG HOP'!T6:T136)</f>
        <v>97.14</v>
      </c>
    </row>
    <row r="28" spans="2:3" x14ac:dyDescent="0.25">
      <c r="B28" s="21" t="s">
        <v>47</v>
      </c>
      <c r="C28" s="34">
        <f>SUM('03_Phat sinh'!J3:J100)</f>
        <v>0.8</v>
      </c>
    </row>
    <row r="29" spans="2:3" x14ac:dyDescent="0.25">
      <c r="B29" s="21" t="s">
        <v>48</v>
      </c>
      <c r="C29" s="34">
        <f>SUM('04_CU dac thu'!K3:K100)</f>
        <v>1.25</v>
      </c>
    </row>
    <row r="31" spans="2:3" x14ac:dyDescent="0.25">
      <c r="B31" s="80" t="s">
        <v>49</v>
      </c>
      <c r="C31" s="80"/>
    </row>
  </sheetData>
  <mergeCells count="3">
    <mergeCell ref="B2:C2"/>
    <mergeCell ref="B3:C3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D173"/>
  <sheetViews>
    <sheetView tabSelected="1"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111" sqref="E111"/>
    </sheetView>
  </sheetViews>
  <sheetFormatPr defaultColWidth="8.7109375" defaultRowHeight="12.75" outlineLevelCol="1" x14ac:dyDescent="0.2"/>
  <cols>
    <col min="1" max="1" width="6" style="35" customWidth="1"/>
    <col min="2" max="2" width="11" style="35" customWidth="1"/>
    <col min="3" max="3" width="10" style="35" customWidth="1"/>
    <col min="4" max="4" width="10.140625" style="35" customWidth="1"/>
    <col min="5" max="5" width="27.42578125" style="35" customWidth="1"/>
    <col min="6" max="6" width="12" style="35" customWidth="1"/>
    <col min="7" max="25" width="10.85546875" style="35" customWidth="1"/>
    <col min="26" max="28" width="8" style="35" customWidth="1"/>
    <col min="29" max="29" width="15" style="35" customWidth="1"/>
    <col min="30" max="30" width="12" style="35" customWidth="1"/>
    <col min="31" max="31" width="9" style="35" customWidth="1"/>
    <col min="32" max="34" width="12.5703125" style="40" customWidth="1"/>
    <col min="35" max="35" width="11" style="35" customWidth="1"/>
    <col min="36" max="38" width="9" style="35" customWidth="1"/>
    <col min="39" max="40" width="8.140625" style="35" customWidth="1"/>
    <col min="41" max="41" width="22" style="35" customWidth="1"/>
    <col min="42" max="43" width="8.140625" style="35" customWidth="1"/>
    <col min="44" max="44" width="22" style="35" customWidth="1"/>
    <col min="45" max="46" width="7" style="35" customWidth="1" outlineLevel="1"/>
    <col min="47" max="47" width="21" style="35" customWidth="1" outlineLevel="1"/>
    <col min="48" max="49" width="7" style="35" customWidth="1" outlineLevel="1"/>
    <col min="50" max="50" width="21" style="35" customWidth="1" outlineLevel="1"/>
    <col min="51" max="52" width="7" style="35" customWidth="1" outlineLevel="1"/>
    <col min="53" max="53" width="21" style="35" customWidth="1" outlineLevel="1"/>
    <col min="54" max="55" width="7" style="35" customWidth="1" outlineLevel="1"/>
    <col min="56" max="56" width="21" style="35" customWidth="1" outlineLevel="1"/>
    <col min="57" max="16384" width="8.7109375" style="35"/>
  </cols>
  <sheetData>
    <row r="1" spans="1:56" x14ac:dyDescent="0.2">
      <c r="A1" s="41" t="s">
        <v>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</row>
    <row r="2" spans="1:56" x14ac:dyDescent="0.2">
      <c r="A2" s="42" t="s">
        <v>51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</row>
    <row r="3" spans="1:56" ht="22.5" customHeight="1" x14ac:dyDescent="0.2">
      <c r="A3" s="63" t="s">
        <v>52</v>
      </c>
      <c r="B3" s="63"/>
      <c r="C3" s="63"/>
      <c r="D3" s="63"/>
      <c r="E3" s="63"/>
      <c r="F3" s="63"/>
      <c r="G3" s="64" t="s">
        <v>53</v>
      </c>
      <c r="H3" s="44"/>
      <c r="I3" s="44"/>
      <c r="J3" s="44"/>
      <c r="K3" s="44"/>
      <c r="L3" s="44"/>
      <c r="M3" s="44"/>
      <c r="N3" s="65" t="s">
        <v>54</v>
      </c>
      <c r="O3" s="45"/>
      <c r="P3" s="45"/>
      <c r="Q3" s="45"/>
      <c r="R3" s="45"/>
      <c r="S3" s="45"/>
      <c r="T3" s="45"/>
      <c r="U3" s="45"/>
      <c r="V3" s="66" t="s">
        <v>55</v>
      </c>
      <c r="W3" s="46"/>
      <c r="X3" s="46"/>
      <c r="Y3" s="46"/>
      <c r="Z3" s="67" t="s">
        <v>56</v>
      </c>
      <c r="AA3" s="47"/>
      <c r="AB3" s="47"/>
      <c r="AC3" s="47"/>
      <c r="AD3" s="47"/>
      <c r="AE3" s="47"/>
      <c r="AF3" s="36" t="s">
        <v>57</v>
      </c>
      <c r="AG3" s="37"/>
      <c r="AH3" s="37"/>
      <c r="AI3" s="81" t="s">
        <v>58</v>
      </c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3"/>
    </row>
    <row r="4" spans="1:56" ht="15.75" customHeight="1" x14ac:dyDescent="0.2">
      <c r="A4" s="84" t="s">
        <v>59</v>
      </c>
      <c r="B4" s="84" t="s">
        <v>60</v>
      </c>
      <c r="C4" s="84" t="s">
        <v>61</v>
      </c>
      <c r="D4" s="84" t="s">
        <v>62</v>
      </c>
      <c r="E4" s="84" t="s">
        <v>63</v>
      </c>
      <c r="F4" s="84" t="s">
        <v>64</v>
      </c>
      <c r="G4" s="85" t="s">
        <v>65</v>
      </c>
      <c r="H4" s="85" t="s">
        <v>66</v>
      </c>
      <c r="I4" s="85" t="s">
        <v>67</v>
      </c>
      <c r="J4" s="85" t="s">
        <v>68</v>
      </c>
      <c r="K4" s="85" t="s">
        <v>69</v>
      </c>
      <c r="L4" s="85" t="s">
        <v>70</v>
      </c>
      <c r="M4" s="85" t="s">
        <v>71</v>
      </c>
      <c r="N4" s="86" t="s">
        <v>72</v>
      </c>
      <c r="O4" s="86" t="s">
        <v>73</v>
      </c>
      <c r="P4" s="86" t="s">
        <v>74</v>
      </c>
      <c r="Q4" s="86" t="s">
        <v>75</v>
      </c>
      <c r="R4" s="86" t="s">
        <v>76</v>
      </c>
      <c r="S4" s="86" t="s">
        <v>77</v>
      </c>
      <c r="T4" s="86" t="s">
        <v>78</v>
      </c>
      <c r="U4" s="86" t="s">
        <v>79</v>
      </c>
      <c r="V4" s="87" t="s">
        <v>80</v>
      </c>
      <c r="W4" s="87" t="s">
        <v>81</v>
      </c>
      <c r="X4" s="87" t="s">
        <v>82</v>
      </c>
      <c r="Y4" s="87" t="s">
        <v>83</v>
      </c>
      <c r="Z4" s="88" t="s">
        <v>84</v>
      </c>
      <c r="AA4" s="88" t="s">
        <v>85</v>
      </c>
      <c r="AB4" s="88" t="s">
        <v>86</v>
      </c>
      <c r="AC4" s="88" t="s">
        <v>87</v>
      </c>
      <c r="AD4" s="88" t="s">
        <v>88</v>
      </c>
      <c r="AE4" s="88" t="s">
        <v>89</v>
      </c>
      <c r="AF4" s="91" t="s">
        <v>90</v>
      </c>
      <c r="AG4" s="91" t="s">
        <v>91</v>
      </c>
      <c r="AH4" s="91" t="s">
        <v>92</v>
      </c>
      <c r="AI4" s="92" t="s">
        <v>93</v>
      </c>
      <c r="AJ4" s="93"/>
      <c r="AK4" s="93"/>
      <c r="AL4" s="94"/>
      <c r="AM4" s="89" t="s">
        <v>94</v>
      </c>
      <c r="AN4" s="89"/>
      <c r="AO4" s="89"/>
      <c r="AP4" s="89" t="s">
        <v>95</v>
      </c>
      <c r="AQ4" s="89"/>
      <c r="AR4" s="89"/>
      <c r="AS4" s="90" t="s">
        <v>96</v>
      </c>
      <c r="AT4" s="90"/>
      <c r="AU4" s="90"/>
      <c r="AV4" s="89" t="s">
        <v>97</v>
      </c>
      <c r="AW4" s="89"/>
      <c r="AX4" s="89"/>
      <c r="AY4" s="90" t="s">
        <v>98</v>
      </c>
      <c r="AZ4" s="90"/>
      <c r="BA4" s="90"/>
      <c r="BB4" s="89" t="s">
        <v>99</v>
      </c>
      <c r="BC4" s="89"/>
      <c r="BD4" s="89"/>
    </row>
    <row r="5" spans="1:56" ht="39.75" customHeight="1" x14ac:dyDescent="0.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91"/>
      <c r="AG5" s="91"/>
      <c r="AH5" s="91"/>
      <c r="AI5" s="48" t="s">
        <v>100</v>
      </c>
      <c r="AJ5" s="48" t="s">
        <v>101</v>
      </c>
      <c r="AK5" s="48" t="s">
        <v>102</v>
      </c>
      <c r="AL5" s="48" t="s">
        <v>103</v>
      </c>
      <c r="AM5" s="76" t="s">
        <v>104</v>
      </c>
      <c r="AN5" s="76" t="s">
        <v>105</v>
      </c>
      <c r="AO5" s="76" t="s">
        <v>106</v>
      </c>
      <c r="AP5" s="76" t="s">
        <v>104</v>
      </c>
      <c r="AQ5" s="76" t="s">
        <v>105</v>
      </c>
      <c r="AR5" s="76" t="s">
        <v>106</v>
      </c>
      <c r="AS5" s="77" t="s">
        <v>107</v>
      </c>
      <c r="AT5" s="77" t="s">
        <v>108</v>
      </c>
      <c r="AU5" s="77" t="s">
        <v>109</v>
      </c>
      <c r="AV5" s="76" t="s">
        <v>110</v>
      </c>
      <c r="AW5" s="76" t="s">
        <v>111</v>
      </c>
      <c r="AX5" s="76" t="s">
        <v>112</v>
      </c>
      <c r="AY5" s="77" t="s">
        <v>113</v>
      </c>
      <c r="AZ5" s="77" t="s">
        <v>114</v>
      </c>
      <c r="BA5" s="77" t="s">
        <v>115</v>
      </c>
      <c r="BB5" s="76" t="s">
        <v>116</v>
      </c>
      <c r="BC5" s="76" t="s">
        <v>117</v>
      </c>
      <c r="BD5" s="76" t="s">
        <v>118</v>
      </c>
    </row>
    <row r="6" spans="1:56" ht="33.75" customHeight="1" x14ac:dyDescent="0.2">
      <c r="A6" s="49">
        <v>1</v>
      </c>
      <c r="B6" s="49" t="s">
        <v>119</v>
      </c>
      <c r="C6" s="49" t="s">
        <v>120</v>
      </c>
      <c r="D6" s="49" t="s">
        <v>121</v>
      </c>
      <c r="E6" s="50" t="s">
        <v>122</v>
      </c>
      <c r="F6" s="49" t="s">
        <v>123</v>
      </c>
      <c r="G6" s="51">
        <v>45667</v>
      </c>
      <c r="H6" s="51">
        <v>46387</v>
      </c>
      <c r="I6" s="54">
        <v>35.299999999999997</v>
      </c>
      <c r="J6" s="51">
        <v>45627</v>
      </c>
      <c r="K6" s="49" t="s">
        <v>124</v>
      </c>
      <c r="L6" s="49" t="s">
        <v>125</v>
      </c>
      <c r="M6" s="49" t="s">
        <v>126</v>
      </c>
      <c r="N6" s="51">
        <v>45636</v>
      </c>
      <c r="O6" s="49" t="s">
        <v>127</v>
      </c>
      <c r="P6" s="51">
        <v>45646</v>
      </c>
      <c r="Q6" s="49" t="s">
        <v>128</v>
      </c>
      <c r="R6" s="51">
        <v>45662</v>
      </c>
      <c r="S6" s="49" t="s">
        <v>129</v>
      </c>
      <c r="T6" s="54">
        <v>34.799999999999997</v>
      </c>
      <c r="U6" s="55">
        <f t="shared" ref="U6:U136" si="0">IF(OR(I6="",T6=""),"",T6/I6)</f>
        <v>0.98583569405099147</v>
      </c>
      <c r="V6" s="51">
        <v>45663</v>
      </c>
      <c r="W6" s="49" t="s">
        <v>130</v>
      </c>
      <c r="X6" s="51">
        <v>45665</v>
      </c>
      <c r="Y6" s="49" t="s">
        <v>129</v>
      </c>
      <c r="Z6" s="52" t="str">
        <f t="shared" ref="Z6:Z136" si="1">IF($B6="","",IF(AND(OR(K6="Đã phát hành",K6="Hoàn thiện"),M6="Đã bàn giao"),"✔","✘"))</f>
        <v>✔</v>
      </c>
      <c r="AA6" s="52" t="str">
        <f t="shared" ref="AA6:AA136" si="2">IF($B6="","",IF(Q6="Đã CU","✔","✘"))</f>
        <v>✔</v>
      </c>
      <c r="AB6" s="52" t="str">
        <f t="shared" ref="AB6:AB136" si="3">IF($B6="","",IF(Y6="Đã duyệt","✔","✘"))</f>
        <v>✔</v>
      </c>
      <c r="AC6" s="52" t="str">
        <f t="shared" ref="AC6:AC136" si="4">IF($B6="","",IF(AND(Z6="✔",AA6="✔",AB6="✔"),"ĐỦ ĐK KHỞI CÔNG","THIẾU ĐK"))</f>
        <v>ĐỦ ĐK KHỞI CÔNG</v>
      </c>
      <c r="AD6" s="51">
        <v>45672</v>
      </c>
      <c r="AE6" s="52">
        <f>IF($B6="","",COUNTIFS('01_HSo TienKC'!$B:$B,$B6,'01_HSo TienKC'!$J:$J,"Đã duyệt"))</f>
        <v>8</v>
      </c>
      <c r="AF6" s="38"/>
      <c r="AG6" s="38"/>
      <c r="AH6" s="38"/>
      <c r="AI6" s="52" t="str">
        <f>IF($B6="","",COUNTIFS('02_KH Thang_Tuan'!$B:$B,$B6,'02_KH Thang_Tuan'!$J:$J,"Đã duyệt")&amp;"/"&amp;COUNTIFS('02_KH Thang_Tuan'!$B:$B,$B6))</f>
        <v>0/0</v>
      </c>
      <c r="AJ6" s="52">
        <f>IF($B6="","",COUNTIFS('03_Phat sinh'!$C:$C,$B6,'03_Phat sinh'!$M:$M,"&lt;&gt;Đã duyệt"))</f>
        <v>0</v>
      </c>
      <c r="AK6" s="52">
        <f>IF($B6="","",COUNTIFS('04_CU dac thu'!$C:$C,$B6,'04_CU dac thu'!$N:$N,"&lt;&gt;Đã duyệt"))</f>
        <v>0</v>
      </c>
      <c r="AL6" s="52">
        <f>IF($B6="","",COUNTIFS('05_Bu tien do'!$B:$B,$B6,'05_Bu tien do'!$N:$N,"&lt;&gt;Đã hoàn thành"))</f>
        <v>0</v>
      </c>
      <c r="AM6" s="53">
        <v>0.95</v>
      </c>
      <c r="AN6" s="53">
        <v>0.95</v>
      </c>
      <c r="AO6" s="50" t="s">
        <v>131</v>
      </c>
      <c r="AP6" s="53">
        <v>0.95</v>
      </c>
      <c r="AQ6" s="53">
        <v>0.95</v>
      </c>
      <c r="AR6" s="50" t="s">
        <v>131</v>
      </c>
      <c r="AS6" s="53">
        <v>0.8</v>
      </c>
      <c r="AT6" s="53">
        <v>0.8</v>
      </c>
      <c r="AU6" s="50"/>
      <c r="AV6" s="53">
        <v>0.86</v>
      </c>
      <c r="AW6" s="53">
        <v>0.86</v>
      </c>
      <c r="AX6" s="50"/>
      <c r="AY6" s="53">
        <v>0.91</v>
      </c>
      <c r="AZ6" s="53">
        <v>0.91</v>
      </c>
      <c r="BA6" s="50"/>
      <c r="BB6" s="53">
        <v>0.95</v>
      </c>
      <c r="BC6" s="53">
        <v>0.95</v>
      </c>
      <c r="BD6" s="50"/>
    </row>
    <row r="7" spans="1:56" s="61" customFormat="1" ht="40.5" customHeight="1" x14ac:dyDescent="0.2">
      <c r="A7" s="56">
        <v>2</v>
      </c>
      <c r="B7" s="56" t="s">
        <v>132</v>
      </c>
      <c r="C7" s="56" t="s">
        <v>133</v>
      </c>
      <c r="D7" s="56" t="s">
        <v>134</v>
      </c>
      <c r="E7" s="57" t="s">
        <v>135</v>
      </c>
      <c r="F7" s="56" t="s">
        <v>136</v>
      </c>
      <c r="G7" s="62">
        <v>46174</v>
      </c>
      <c r="H7" s="62">
        <v>46295</v>
      </c>
      <c r="I7" s="58"/>
      <c r="J7" s="62">
        <v>46162</v>
      </c>
      <c r="K7" s="56"/>
      <c r="L7" s="56"/>
      <c r="M7" s="56"/>
      <c r="N7" s="62"/>
      <c r="O7" s="56"/>
      <c r="P7" s="62"/>
      <c r="Q7" s="56"/>
      <c r="R7" s="62"/>
      <c r="S7" s="56"/>
      <c r="T7" s="58"/>
      <c r="U7" s="58" t="str">
        <f t="shared" si="0"/>
        <v/>
      </c>
      <c r="V7" s="62"/>
      <c r="W7" s="56"/>
      <c r="X7" s="62"/>
      <c r="Y7" s="56"/>
      <c r="Z7" s="56" t="str">
        <f t="shared" si="1"/>
        <v>✘</v>
      </c>
      <c r="AA7" s="56" t="str">
        <f t="shared" si="2"/>
        <v>✘</v>
      </c>
      <c r="AB7" s="56" t="str">
        <f t="shared" si="3"/>
        <v>✘</v>
      </c>
      <c r="AC7" s="56" t="str">
        <f t="shared" si="4"/>
        <v>THIẾU ĐK</v>
      </c>
      <c r="AD7" s="62">
        <v>46174</v>
      </c>
      <c r="AE7" s="56">
        <f>IF($B7="","",COUNTIFS('01_HSo TienKC'!$B:$B,$B7,'01_HSo TienKC'!$J:$J,"Đã duyệt"))</f>
        <v>8</v>
      </c>
      <c r="AF7" s="59"/>
      <c r="AG7" s="59"/>
      <c r="AH7" s="59"/>
      <c r="AI7" s="56" t="str">
        <f>IF($B7="","",COUNTIFS('02_KH Thang_Tuan'!$B:$B,$B7,'02_KH Thang_Tuan'!$J:$J,"Đã duyệt")&amp;"/"&amp;COUNTIFS('02_KH Thang_Tuan'!$B:$B,$B7))</f>
        <v>4/5</v>
      </c>
      <c r="AJ7" s="56">
        <f>IF($B7="","",COUNTIFS('03_Phat sinh'!$C:$C,$B7,'03_Phat sinh'!$M:$M,"&lt;&gt;Đã duyệt"))</f>
        <v>1</v>
      </c>
      <c r="AK7" s="56">
        <f>IF($B7="","",COUNTIFS('04_CU dac thu'!$C:$C,$B7,'04_CU dac thu'!$N:$N,"&lt;&gt;Đã duyệt"))</f>
        <v>1</v>
      </c>
      <c r="AL7" s="56">
        <f>IF($B7="","",COUNTIFS('05_Bu tien do'!$B:$B,$B7,'05_Bu tien do'!$N:$N,"&lt;&gt;Đã hoàn thành"))</f>
        <v>1</v>
      </c>
      <c r="AM7" s="60">
        <v>0.25</v>
      </c>
      <c r="AN7" s="60">
        <v>0.22</v>
      </c>
      <c r="AO7" s="57" t="s">
        <v>137</v>
      </c>
      <c r="AP7" s="60">
        <v>0.25</v>
      </c>
      <c r="AQ7" s="60">
        <v>0.22</v>
      </c>
      <c r="AR7" s="57" t="s">
        <v>137</v>
      </c>
      <c r="AS7" s="60">
        <v>0.06</v>
      </c>
      <c r="AT7" s="60">
        <v>0.06</v>
      </c>
      <c r="AU7" s="57"/>
      <c r="AV7" s="60">
        <v>0.12</v>
      </c>
      <c r="AW7" s="60">
        <v>0.11</v>
      </c>
      <c r="AX7" s="57" t="s">
        <v>138</v>
      </c>
      <c r="AY7" s="60">
        <v>0.19</v>
      </c>
      <c r="AZ7" s="60">
        <v>0.16</v>
      </c>
      <c r="BA7" s="57" t="s">
        <v>139</v>
      </c>
      <c r="BB7" s="60">
        <v>0.25</v>
      </c>
      <c r="BC7" s="60">
        <v>0.22</v>
      </c>
      <c r="BD7" s="57" t="s">
        <v>140</v>
      </c>
    </row>
    <row r="8" spans="1:56" ht="25.5" customHeight="1" x14ac:dyDescent="0.2">
      <c r="A8" s="49" t="s">
        <v>141</v>
      </c>
      <c r="B8" s="49"/>
      <c r="C8" s="49" t="s">
        <v>142</v>
      </c>
      <c r="D8" s="57" t="s">
        <v>135</v>
      </c>
      <c r="E8" s="50" t="s">
        <v>143</v>
      </c>
      <c r="F8" s="49" t="s">
        <v>123</v>
      </c>
      <c r="G8" s="51"/>
      <c r="H8" s="51"/>
      <c r="I8" s="54">
        <v>2.1800000000000002</v>
      </c>
      <c r="J8" s="51">
        <v>46162</v>
      </c>
      <c r="K8" s="49" t="s">
        <v>124</v>
      </c>
      <c r="L8" s="49" t="s">
        <v>125</v>
      </c>
      <c r="M8" s="49" t="s">
        <v>126</v>
      </c>
      <c r="N8" s="51">
        <v>45829</v>
      </c>
      <c r="O8" s="49" t="s">
        <v>127</v>
      </c>
      <c r="P8" s="51">
        <v>45836</v>
      </c>
      <c r="Q8" s="49" t="s">
        <v>128</v>
      </c>
      <c r="R8" s="51">
        <v>45836</v>
      </c>
      <c r="S8" s="49" t="s">
        <v>129</v>
      </c>
      <c r="T8" s="54">
        <v>1.34</v>
      </c>
      <c r="U8" s="55">
        <f t="shared" si="0"/>
        <v>0.61467889908256879</v>
      </c>
      <c r="V8" s="51">
        <v>45838</v>
      </c>
      <c r="W8" s="49" t="s">
        <v>130</v>
      </c>
      <c r="X8" s="51">
        <v>45838</v>
      </c>
      <c r="Y8" s="49" t="s">
        <v>129</v>
      </c>
      <c r="Z8" s="52" t="str">
        <f>IF($B8="","",IF(AND(OR(#REF!="Đã phát hành",#REF!="Hoàn thiện"),M8="Đã bàn giao"),"✔","✘"))</f>
        <v/>
      </c>
      <c r="AA8" s="52" t="str">
        <f t="shared" si="2"/>
        <v/>
      </c>
      <c r="AB8" s="52" t="str">
        <f t="shared" si="3"/>
        <v/>
      </c>
      <c r="AC8" s="52" t="str">
        <f t="shared" si="4"/>
        <v/>
      </c>
      <c r="AD8" s="51"/>
      <c r="AE8" s="52" t="str">
        <f>IF($B8="","",COUNTIFS('01_HSo TienKC'!$B:$B,$B8,'01_HSo TienKC'!$J:$J,"Đã duyệt"))</f>
        <v/>
      </c>
      <c r="AF8" s="39"/>
      <c r="AG8" s="39"/>
      <c r="AH8" s="39"/>
      <c r="AI8" s="52" t="str">
        <f>IF($B8="","",COUNTIFS('02_KH Thang_Tuan'!$B:$B,$B8,'02_KH Thang_Tuan'!$J:$J,"Đã duyệt")&amp;"/"&amp;COUNTIFS('02_KH Thang_Tuan'!$B:$B,$B8))</f>
        <v/>
      </c>
      <c r="AJ8" s="52" t="str">
        <f>IF($B8="","",COUNTIFS('03_Phat sinh'!$C:$C,$B8,'03_Phat sinh'!$M:$M,"&lt;&gt;Đã duyệt"))</f>
        <v/>
      </c>
      <c r="AK8" s="52" t="str">
        <f>IF($B8="","",COUNTIFS('04_CU dac thu'!$C:$C,$B8,'04_CU dac thu'!$N:$N,"&lt;&gt;Đã duyệt"))</f>
        <v/>
      </c>
      <c r="AL8" s="52" t="str">
        <f>IF($B8="","",COUNTIFS('05_Bu tien do'!$B:$B,$B8,'05_Bu tien do'!$N:$N,"&lt;&gt;Đã hoàn thành"))</f>
        <v/>
      </c>
      <c r="AM8" s="53"/>
      <c r="AN8" s="53"/>
      <c r="AO8" s="50"/>
      <c r="AP8" s="53"/>
      <c r="AQ8" s="53"/>
      <c r="AR8" s="50"/>
      <c r="AS8" s="53"/>
      <c r="AT8" s="53"/>
      <c r="AU8" s="50"/>
      <c r="AV8" s="53"/>
      <c r="AW8" s="53"/>
      <c r="AX8" s="50"/>
      <c r="AY8" s="53"/>
      <c r="AZ8" s="53"/>
      <c r="BA8" s="50"/>
      <c r="BB8" s="53"/>
      <c r="BC8" s="53"/>
      <c r="BD8" s="50"/>
    </row>
    <row r="9" spans="1:56" ht="51" x14ac:dyDescent="0.2">
      <c r="A9" s="49" t="s">
        <v>144</v>
      </c>
      <c r="B9" s="49"/>
      <c r="C9" s="49" t="s">
        <v>142</v>
      </c>
      <c r="D9" s="57" t="s">
        <v>135</v>
      </c>
      <c r="E9" s="50" t="s">
        <v>145</v>
      </c>
      <c r="F9" s="49" t="s">
        <v>123</v>
      </c>
      <c r="G9" s="51">
        <v>45870</v>
      </c>
      <c r="H9" s="51">
        <v>46203</v>
      </c>
      <c r="I9" s="54">
        <v>6.67</v>
      </c>
      <c r="J9" s="51">
        <v>46162</v>
      </c>
      <c r="K9" s="49" t="s">
        <v>124</v>
      </c>
      <c r="L9" s="49" t="s">
        <v>125</v>
      </c>
      <c r="M9" s="49" t="s">
        <v>126</v>
      </c>
      <c r="N9" s="51"/>
      <c r="O9" s="49"/>
      <c r="P9" s="51"/>
      <c r="Q9" s="49"/>
      <c r="R9" s="51"/>
      <c r="S9" s="49"/>
      <c r="T9" s="54"/>
      <c r="U9" s="55" t="str">
        <f>IF(OR(I9="",T9=""),"",T9/I9)</f>
        <v/>
      </c>
      <c r="V9" s="51"/>
      <c r="W9" s="49"/>
      <c r="X9" s="51"/>
      <c r="Y9" s="49"/>
      <c r="Z9" s="52" t="str">
        <f>IF($B9="","",IF(AND(OR(K8="Đã phát hành",K8="Hoàn thiện"),M9="Đã bàn giao"),"✔","✘"))</f>
        <v/>
      </c>
      <c r="AA9" s="52" t="str">
        <f t="shared" si="2"/>
        <v/>
      </c>
      <c r="AB9" s="52" t="str">
        <f t="shared" si="3"/>
        <v/>
      </c>
      <c r="AC9" s="52" t="str">
        <f t="shared" si="4"/>
        <v/>
      </c>
      <c r="AD9" s="51"/>
      <c r="AE9" s="52" t="str">
        <f>IF($B9="","",COUNTIFS('01_HSo TienKC'!$B:$B,$B9,'01_HSo TienKC'!$J:$J,"Đã duyệt"))</f>
        <v/>
      </c>
      <c r="AF9" s="39"/>
      <c r="AG9" s="39"/>
      <c r="AH9" s="39"/>
      <c r="AI9" s="52" t="str">
        <f>IF($B9="","",COUNTIFS('02_KH Thang_Tuan'!$B:$B,$B9,'02_KH Thang_Tuan'!$J:$J,"Đã duyệt")&amp;"/"&amp;COUNTIFS('02_KH Thang_Tuan'!$B:$B,$B9))</f>
        <v/>
      </c>
      <c r="AJ9" s="52" t="str">
        <f>IF($B9="","",COUNTIFS('03_Phat sinh'!$C:$C,$B9,'03_Phat sinh'!$M:$M,"&lt;&gt;Đã duyệt"))</f>
        <v/>
      </c>
      <c r="AK9" s="52" t="str">
        <f>IF($B9="","",COUNTIFS('04_CU dac thu'!$C:$C,$B9,'04_CU dac thu'!$N:$N,"&lt;&gt;Đã duyệt"))</f>
        <v/>
      </c>
      <c r="AL9" s="52" t="str">
        <f>IF($B9="","",COUNTIFS('05_Bu tien do'!$B:$B,$B9,'05_Bu tien do'!$N:$N,"&lt;&gt;Đã hoàn thành"))</f>
        <v/>
      </c>
      <c r="AM9" s="53"/>
      <c r="AN9" s="53"/>
      <c r="AO9" s="50"/>
      <c r="AP9" s="53"/>
      <c r="AQ9" s="53"/>
      <c r="AR9" s="50"/>
      <c r="AS9" s="53"/>
      <c r="AT9" s="53"/>
      <c r="AU9" s="50"/>
      <c r="AV9" s="53"/>
      <c r="AW9" s="53"/>
      <c r="AX9" s="50"/>
      <c r="AY9" s="53"/>
      <c r="AZ9" s="53"/>
      <c r="BA9" s="50"/>
      <c r="BB9" s="53"/>
      <c r="BC9" s="53"/>
      <c r="BD9" s="50"/>
    </row>
    <row r="10" spans="1:56" ht="25.5" customHeight="1" x14ac:dyDescent="0.2">
      <c r="A10" s="49" t="s">
        <v>146</v>
      </c>
      <c r="B10" s="49"/>
      <c r="C10" s="49" t="s">
        <v>142</v>
      </c>
      <c r="D10" s="57" t="s">
        <v>135</v>
      </c>
      <c r="E10" s="50" t="s">
        <v>147</v>
      </c>
      <c r="F10" s="49" t="s">
        <v>123</v>
      </c>
      <c r="G10" s="51"/>
      <c r="H10" s="51"/>
      <c r="I10" s="54"/>
      <c r="J10" s="51"/>
      <c r="K10" s="49"/>
      <c r="L10" s="49"/>
      <c r="M10" s="49"/>
      <c r="N10" s="51"/>
      <c r="O10" s="49"/>
      <c r="P10" s="51"/>
      <c r="Q10" s="49"/>
      <c r="R10" s="51"/>
      <c r="S10" s="49"/>
      <c r="T10" s="54"/>
      <c r="U10" s="55" t="str">
        <f t="shared" si="0"/>
        <v/>
      </c>
      <c r="V10" s="51"/>
      <c r="W10" s="49"/>
      <c r="X10" s="51"/>
      <c r="Y10" s="49"/>
      <c r="Z10" s="52" t="str">
        <f t="shared" si="1"/>
        <v/>
      </c>
      <c r="AA10" s="52" t="str">
        <f t="shared" si="2"/>
        <v/>
      </c>
      <c r="AB10" s="52" t="str">
        <f t="shared" si="3"/>
        <v/>
      </c>
      <c r="AC10" s="52" t="str">
        <f t="shared" si="4"/>
        <v/>
      </c>
      <c r="AD10" s="51"/>
      <c r="AE10" s="52" t="str">
        <f>IF($B10="","",COUNTIFS('01_HSo TienKC'!$B:$B,$B10,'01_HSo TienKC'!$J:$J,"Đã duyệt"))</f>
        <v/>
      </c>
      <c r="AF10" s="39"/>
      <c r="AG10" s="39"/>
      <c r="AH10" s="39"/>
      <c r="AI10" s="52" t="str">
        <f>IF($B10="","",COUNTIFS('02_KH Thang_Tuan'!$B:$B,$B10,'02_KH Thang_Tuan'!$J:$J,"Đã duyệt")&amp;"/"&amp;COUNTIFS('02_KH Thang_Tuan'!$B:$B,$B10))</f>
        <v/>
      </c>
      <c r="AJ10" s="52" t="str">
        <f>IF($B10="","",COUNTIFS('03_Phat sinh'!$C:$C,$B10,'03_Phat sinh'!$M:$M,"&lt;&gt;Đã duyệt"))</f>
        <v/>
      </c>
      <c r="AK10" s="52" t="str">
        <f>IF($B10="","",COUNTIFS('04_CU dac thu'!$C:$C,$B10,'04_CU dac thu'!$N:$N,"&lt;&gt;Đã duyệt"))</f>
        <v/>
      </c>
      <c r="AL10" s="52" t="str">
        <f>IF($B10="","",COUNTIFS('05_Bu tien do'!$B:$B,$B10,'05_Bu tien do'!$N:$N,"&lt;&gt;Đã hoàn thành"))</f>
        <v/>
      </c>
      <c r="AM10" s="53"/>
      <c r="AN10" s="53"/>
      <c r="AO10" s="50"/>
      <c r="AP10" s="53"/>
      <c r="AQ10" s="53"/>
      <c r="AR10" s="50"/>
      <c r="AS10" s="53"/>
      <c r="AT10" s="53"/>
      <c r="AU10" s="50"/>
      <c r="AV10" s="53"/>
      <c r="AW10" s="53"/>
      <c r="AX10" s="50"/>
      <c r="AY10" s="53"/>
      <c r="AZ10" s="53"/>
      <c r="BA10" s="50"/>
      <c r="BB10" s="53"/>
      <c r="BC10" s="53"/>
      <c r="BD10" s="50"/>
    </row>
    <row r="11" spans="1:56" ht="25.5" customHeight="1" x14ac:dyDescent="0.2">
      <c r="A11" s="49" t="s">
        <v>148</v>
      </c>
      <c r="B11" s="49"/>
      <c r="C11" s="49" t="s">
        <v>142</v>
      </c>
      <c r="D11" s="57" t="s">
        <v>135</v>
      </c>
      <c r="E11" s="50" t="s">
        <v>149</v>
      </c>
      <c r="F11" s="49" t="s">
        <v>123</v>
      </c>
      <c r="G11" s="51">
        <v>46213</v>
      </c>
      <c r="H11" s="51">
        <v>46244</v>
      </c>
      <c r="I11" s="54"/>
      <c r="J11" s="51"/>
      <c r="K11" s="49"/>
      <c r="L11" s="49"/>
      <c r="M11" s="49"/>
      <c r="N11" s="51"/>
      <c r="O11" s="49"/>
      <c r="P11" s="51"/>
      <c r="Q11" s="49"/>
      <c r="R11" s="51"/>
      <c r="S11" s="49"/>
      <c r="T11" s="54"/>
      <c r="U11" s="55" t="str">
        <f t="shared" si="0"/>
        <v/>
      </c>
      <c r="V11" s="51"/>
      <c r="W11" s="49"/>
      <c r="X11" s="51"/>
      <c r="Y11" s="49"/>
      <c r="Z11" s="52" t="str">
        <f t="shared" si="1"/>
        <v/>
      </c>
      <c r="AA11" s="52" t="str">
        <f t="shared" si="2"/>
        <v/>
      </c>
      <c r="AB11" s="52" t="str">
        <f t="shared" si="3"/>
        <v/>
      </c>
      <c r="AC11" s="52" t="str">
        <f t="shared" si="4"/>
        <v/>
      </c>
      <c r="AD11" s="51"/>
      <c r="AE11" s="52" t="str">
        <f>IF($B11="","",COUNTIFS('01_HSo TienKC'!$B:$B,$B11,'01_HSo TienKC'!$J:$J,"Đã duyệt"))</f>
        <v/>
      </c>
      <c r="AF11" s="39"/>
      <c r="AG11" s="39"/>
      <c r="AH11" s="39"/>
      <c r="AI11" s="52" t="str">
        <f>IF($B11="","",COUNTIFS('02_KH Thang_Tuan'!$B:$B,$B11,'02_KH Thang_Tuan'!$J:$J,"Đã duyệt")&amp;"/"&amp;COUNTIFS('02_KH Thang_Tuan'!$B:$B,$B11))</f>
        <v/>
      </c>
      <c r="AJ11" s="52" t="str">
        <f>IF($B11="","",COUNTIFS('03_Phat sinh'!$C:$C,$B11,'03_Phat sinh'!$M:$M,"&lt;&gt;Đã duyệt"))</f>
        <v/>
      </c>
      <c r="AK11" s="52" t="str">
        <f>IF($B11="","",COUNTIFS('04_CU dac thu'!$C:$C,$B11,'04_CU dac thu'!$N:$N,"&lt;&gt;Đã duyệt"))</f>
        <v/>
      </c>
      <c r="AL11" s="52" t="str">
        <f>IF($B11="","",COUNTIFS('05_Bu tien do'!$B:$B,$B11,'05_Bu tien do'!$N:$N,"&lt;&gt;Đã hoàn thành"))</f>
        <v/>
      </c>
      <c r="AM11" s="53"/>
      <c r="AN11" s="53"/>
      <c r="AO11" s="50"/>
      <c r="AP11" s="53"/>
      <c r="AQ11" s="53"/>
      <c r="AR11" s="50"/>
      <c r="AS11" s="53"/>
      <c r="AT11" s="53"/>
      <c r="AU11" s="50"/>
      <c r="AV11" s="53"/>
      <c r="AW11" s="53"/>
      <c r="AX11" s="50"/>
      <c r="AY11" s="53"/>
      <c r="AZ11" s="53"/>
      <c r="BA11" s="50"/>
      <c r="BB11" s="53"/>
      <c r="BC11" s="53"/>
      <c r="BD11" s="50"/>
    </row>
    <row r="12" spans="1:56" ht="25.5" customHeight="1" x14ac:dyDescent="0.2">
      <c r="A12" s="49" t="s">
        <v>150</v>
      </c>
      <c r="B12" s="49"/>
      <c r="C12" s="49" t="s">
        <v>142</v>
      </c>
      <c r="D12" s="57" t="s">
        <v>135</v>
      </c>
      <c r="E12" s="50" t="s">
        <v>151</v>
      </c>
      <c r="F12" s="49" t="s">
        <v>123</v>
      </c>
      <c r="G12" s="51">
        <v>46208</v>
      </c>
      <c r="H12" s="51"/>
      <c r="I12" s="54"/>
      <c r="J12" s="51"/>
      <c r="K12" s="49"/>
      <c r="L12" s="49"/>
      <c r="M12" s="49"/>
      <c r="N12" s="51"/>
      <c r="O12" s="49"/>
      <c r="P12" s="51"/>
      <c r="Q12" s="49"/>
      <c r="R12" s="51"/>
      <c r="S12" s="49"/>
      <c r="T12" s="54"/>
      <c r="U12" s="55" t="str">
        <f t="shared" si="0"/>
        <v/>
      </c>
      <c r="V12" s="51"/>
      <c r="W12" s="49"/>
      <c r="X12" s="51"/>
      <c r="Y12" s="49"/>
      <c r="Z12" s="52" t="str">
        <f t="shared" si="1"/>
        <v/>
      </c>
      <c r="AA12" s="52" t="str">
        <f t="shared" si="2"/>
        <v/>
      </c>
      <c r="AB12" s="52" t="str">
        <f t="shared" si="3"/>
        <v/>
      </c>
      <c r="AC12" s="52" t="str">
        <f t="shared" si="4"/>
        <v/>
      </c>
      <c r="AD12" s="51"/>
      <c r="AE12" s="52" t="str">
        <f>IF($B12="","",COUNTIFS('01_HSo TienKC'!$B:$B,$B12,'01_HSo TienKC'!$J:$J,"Đã duyệt"))</f>
        <v/>
      </c>
      <c r="AF12" s="39"/>
      <c r="AG12" s="39"/>
      <c r="AH12" s="39"/>
      <c r="AI12" s="52" t="str">
        <f>IF($B12="","",COUNTIFS('02_KH Thang_Tuan'!$B:$B,$B12,'02_KH Thang_Tuan'!$J:$J,"Đã duyệt")&amp;"/"&amp;COUNTIFS('02_KH Thang_Tuan'!$B:$B,$B12))</f>
        <v/>
      </c>
      <c r="AJ12" s="52" t="str">
        <f>IF($B12="","",COUNTIFS('03_Phat sinh'!$C:$C,$B12,'03_Phat sinh'!$M:$M,"&lt;&gt;Đã duyệt"))</f>
        <v/>
      </c>
      <c r="AK12" s="52" t="str">
        <f>IF($B12="","",COUNTIFS('04_CU dac thu'!$C:$C,$B12,'04_CU dac thu'!$N:$N,"&lt;&gt;Đã duyệt"))</f>
        <v/>
      </c>
      <c r="AL12" s="52" t="str">
        <f>IF($B12="","",COUNTIFS('05_Bu tien do'!$B:$B,$B12,'05_Bu tien do'!$N:$N,"&lt;&gt;Đã hoàn thành"))</f>
        <v/>
      </c>
      <c r="AM12" s="53"/>
      <c r="AN12" s="53"/>
      <c r="AO12" s="50"/>
      <c r="AP12" s="53"/>
      <c r="AQ12" s="53"/>
      <c r="AR12" s="50"/>
      <c r="AS12" s="53"/>
      <c r="AT12" s="53"/>
      <c r="AU12" s="50"/>
      <c r="AV12" s="53"/>
      <c r="AW12" s="53"/>
      <c r="AX12" s="50"/>
      <c r="AY12" s="53"/>
      <c r="AZ12" s="53"/>
      <c r="BA12" s="50"/>
      <c r="BB12" s="53"/>
      <c r="BC12" s="53"/>
      <c r="BD12" s="50"/>
    </row>
    <row r="13" spans="1:56" ht="25.5" customHeight="1" x14ac:dyDescent="0.2">
      <c r="A13" s="49" t="s">
        <v>152</v>
      </c>
      <c r="B13" s="49"/>
      <c r="C13" s="49" t="s">
        <v>142</v>
      </c>
      <c r="D13" s="57" t="s">
        <v>135</v>
      </c>
      <c r="E13" s="50" t="s">
        <v>153</v>
      </c>
      <c r="F13" s="49" t="s">
        <v>123</v>
      </c>
      <c r="G13" s="51">
        <v>46209</v>
      </c>
      <c r="H13" s="51">
        <v>46229</v>
      </c>
      <c r="I13" s="54"/>
      <c r="J13" s="51"/>
      <c r="K13" s="49"/>
      <c r="L13" s="49"/>
      <c r="M13" s="49"/>
      <c r="N13" s="51"/>
      <c r="O13" s="49"/>
      <c r="P13" s="51"/>
      <c r="Q13" s="49"/>
      <c r="R13" s="51"/>
      <c r="S13" s="49"/>
      <c r="T13" s="54"/>
      <c r="U13" s="55" t="str">
        <f t="shared" si="0"/>
        <v/>
      </c>
      <c r="V13" s="51"/>
      <c r="W13" s="49"/>
      <c r="X13" s="51"/>
      <c r="Y13" s="49"/>
      <c r="Z13" s="52" t="str">
        <f t="shared" si="1"/>
        <v/>
      </c>
      <c r="AA13" s="52" t="str">
        <f t="shared" si="2"/>
        <v/>
      </c>
      <c r="AB13" s="52" t="str">
        <f t="shared" si="3"/>
        <v/>
      </c>
      <c r="AC13" s="52" t="str">
        <f t="shared" si="4"/>
        <v/>
      </c>
      <c r="AD13" s="51"/>
      <c r="AE13" s="52" t="str">
        <f>IF($B13="","",COUNTIFS('01_HSo TienKC'!$B:$B,$B13,'01_HSo TienKC'!$J:$J,"Đã duyệt"))</f>
        <v/>
      </c>
      <c r="AF13" s="39"/>
      <c r="AG13" s="39"/>
      <c r="AH13" s="39"/>
      <c r="AI13" s="52" t="str">
        <f>IF($B13="","",COUNTIFS('02_KH Thang_Tuan'!$B:$B,$B13,'02_KH Thang_Tuan'!$J:$J,"Đã duyệt")&amp;"/"&amp;COUNTIFS('02_KH Thang_Tuan'!$B:$B,$B13))</f>
        <v/>
      </c>
      <c r="AJ13" s="52" t="str">
        <f>IF($B13="","",COUNTIFS('03_Phat sinh'!$C:$C,$B13,'03_Phat sinh'!$M:$M,"&lt;&gt;Đã duyệt"))</f>
        <v/>
      </c>
      <c r="AK13" s="52" t="str">
        <f>IF($B13="","",COUNTIFS('04_CU dac thu'!$C:$C,$B13,'04_CU dac thu'!$N:$N,"&lt;&gt;Đã duyệt"))</f>
        <v/>
      </c>
      <c r="AL13" s="52" t="str">
        <f>IF($B13="","",COUNTIFS('05_Bu tien do'!$B:$B,$B13,'05_Bu tien do'!$N:$N,"&lt;&gt;Đã hoàn thành"))</f>
        <v/>
      </c>
      <c r="AM13" s="53"/>
      <c r="AN13" s="53"/>
      <c r="AO13" s="50"/>
      <c r="AP13" s="53"/>
      <c r="AQ13" s="53"/>
      <c r="AR13" s="50"/>
      <c r="AS13" s="53"/>
      <c r="AT13" s="53"/>
      <c r="AU13" s="50"/>
      <c r="AV13" s="53"/>
      <c r="AW13" s="53"/>
      <c r="AX13" s="50"/>
      <c r="AY13" s="53"/>
      <c r="AZ13" s="53"/>
      <c r="BA13" s="50"/>
      <c r="BB13" s="53"/>
      <c r="BC13" s="53"/>
      <c r="BD13" s="50"/>
    </row>
    <row r="14" spans="1:56" ht="25.5" customHeight="1" x14ac:dyDescent="0.2">
      <c r="A14" s="49" t="s">
        <v>154</v>
      </c>
      <c r="B14" s="49"/>
      <c r="C14" s="49" t="s">
        <v>142</v>
      </c>
      <c r="D14" s="57" t="s">
        <v>135</v>
      </c>
      <c r="E14" s="50" t="s">
        <v>155</v>
      </c>
      <c r="F14" s="49" t="str">
        <f>+F7</f>
        <v>HĐLCNT / Tổng thầu</v>
      </c>
      <c r="G14" s="51">
        <v>46189</v>
      </c>
      <c r="H14" s="51">
        <v>46211</v>
      </c>
      <c r="I14" s="54"/>
      <c r="J14" s="51"/>
      <c r="K14" s="49"/>
      <c r="L14" s="49"/>
      <c r="M14" s="49"/>
      <c r="N14" s="51"/>
      <c r="O14" s="49"/>
      <c r="P14" s="51"/>
      <c r="Q14" s="49"/>
      <c r="R14" s="51"/>
      <c r="S14" s="49"/>
      <c r="T14" s="54"/>
      <c r="U14" s="55" t="str">
        <f t="shared" si="0"/>
        <v/>
      </c>
      <c r="V14" s="51"/>
      <c r="W14" s="49"/>
      <c r="X14" s="51"/>
      <c r="Y14" s="49"/>
      <c r="Z14" s="52" t="str">
        <f t="shared" si="1"/>
        <v/>
      </c>
      <c r="AA14" s="52" t="str">
        <f t="shared" si="2"/>
        <v/>
      </c>
      <c r="AB14" s="52" t="str">
        <f t="shared" si="3"/>
        <v/>
      </c>
      <c r="AC14" s="52" t="str">
        <f t="shared" si="4"/>
        <v/>
      </c>
      <c r="AD14" s="51"/>
      <c r="AE14" s="52" t="str">
        <f>IF($B14="","",COUNTIFS('01_HSo TienKC'!$B:$B,$B14,'01_HSo TienKC'!$J:$J,"Đã duyệt"))</f>
        <v/>
      </c>
      <c r="AF14" s="39"/>
      <c r="AG14" s="39"/>
      <c r="AH14" s="39"/>
      <c r="AI14" s="52" t="str">
        <f>IF($B14="","",COUNTIFS('02_KH Thang_Tuan'!$B:$B,$B14,'02_KH Thang_Tuan'!$J:$J,"Đã duyệt")&amp;"/"&amp;COUNTIFS('02_KH Thang_Tuan'!$B:$B,$B14))</f>
        <v/>
      </c>
      <c r="AJ14" s="52" t="str">
        <f>IF($B14="","",COUNTIFS('03_Phat sinh'!$C:$C,$B14,'03_Phat sinh'!$M:$M,"&lt;&gt;Đã duyệt"))</f>
        <v/>
      </c>
      <c r="AK14" s="52" t="str">
        <f>IF($B14="","",COUNTIFS('04_CU dac thu'!$C:$C,$B14,'04_CU dac thu'!$N:$N,"&lt;&gt;Đã duyệt"))</f>
        <v/>
      </c>
      <c r="AL14" s="52" t="str">
        <f>IF($B14="","",COUNTIFS('05_Bu tien do'!$B:$B,$B14,'05_Bu tien do'!$N:$N,"&lt;&gt;Đã hoàn thành"))</f>
        <v/>
      </c>
      <c r="AM14" s="53"/>
      <c r="AN14" s="53"/>
      <c r="AO14" s="50"/>
      <c r="AP14" s="53"/>
      <c r="AQ14" s="53"/>
      <c r="AR14" s="50"/>
      <c r="AS14" s="53"/>
      <c r="AT14" s="53"/>
      <c r="AU14" s="50"/>
      <c r="AV14" s="53"/>
      <c r="AW14" s="53"/>
      <c r="AX14" s="50"/>
      <c r="AY14" s="53"/>
      <c r="AZ14" s="53"/>
      <c r="BA14" s="50"/>
      <c r="BB14" s="53"/>
      <c r="BC14" s="53"/>
      <c r="BD14" s="50"/>
    </row>
    <row r="15" spans="1:56" ht="25.5" customHeight="1" x14ac:dyDescent="0.2">
      <c r="A15" s="49" t="s">
        <v>156</v>
      </c>
      <c r="B15" s="49"/>
      <c r="C15" s="49" t="s">
        <v>142</v>
      </c>
      <c r="D15" s="57" t="s">
        <v>135</v>
      </c>
      <c r="E15" s="50" t="s">
        <v>157</v>
      </c>
      <c r="F15" s="49" t="str">
        <f>+F14</f>
        <v>HĐLCNT / Tổng thầu</v>
      </c>
      <c r="G15" s="51"/>
      <c r="H15" s="51"/>
      <c r="I15" s="54"/>
      <c r="J15" s="51"/>
      <c r="K15" s="49"/>
      <c r="L15" s="49"/>
      <c r="M15" s="49"/>
      <c r="N15" s="51"/>
      <c r="O15" s="49"/>
      <c r="P15" s="51"/>
      <c r="Q15" s="49"/>
      <c r="R15" s="51"/>
      <c r="S15" s="49"/>
      <c r="T15" s="54"/>
      <c r="U15" s="55" t="str">
        <f t="shared" si="0"/>
        <v/>
      </c>
      <c r="V15" s="51"/>
      <c r="W15" s="49"/>
      <c r="X15" s="51"/>
      <c r="Y15" s="49"/>
      <c r="Z15" s="52" t="str">
        <f t="shared" si="1"/>
        <v/>
      </c>
      <c r="AA15" s="52" t="str">
        <f t="shared" si="2"/>
        <v/>
      </c>
      <c r="AB15" s="52" t="str">
        <f t="shared" si="3"/>
        <v/>
      </c>
      <c r="AC15" s="52" t="str">
        <f t="shared" si="4"/>
        <v/>
      </c>
      <c r="AD15" s="51"/>
      <c r="AE15" s="52" t="str">
        <f>IF($B15="","",COUNTIFS('01_HSo TienKC'!$B:$B,$B15,'01_HSo TienKC'!$J:$J,"Đã duyệt"))</f>
        <v/>
      </c>
      <c r="AF15" s="39"/>
      <c r="AG15" s="39"/>
      <c r="AH15" s="39"/>
      <c r="AI15" s="52" t="str">
        <f>IF($B15="","",COUNTIFS('02_KH Thang_Tuan'!$B:$B,$B15,'02_KH Thang_Tuan'!$J:$J,"Đã duyệt")&amp;"/"&amp;COUNTIFS('02_KH Thang_Tuan'!$B:$B,$B15))</f>
        <v/>
      </c>
      <c r="AJ15" s="52" t="str">
        <f>IF($B15="","",COUNTIFS('03_Phat sinh'!$C:$C,$B15,'03_Phat sinh'!$M:$M,"&lt;&gt;Đã duyệt"))</f>
        <v/>
      </c>
      <c r="AK15" s="52" t="str">
        <f>IF($B15="","",COUNTIFS('04_CU dac thu'!$C:$C,$B15,'04_CU dac thu'!$N:$N,"&lt;&gt;Đã duyệt"))</f>
        <v/>
      </c>
      <c r="AL15" s="52" t="str">
        <f>IF($B15="","",COUNTIFS('05_Bu tien do'!$B:$B,$B15,'05_Bu tien do'!$N:$N,"&lt;&gt;Đã hoàn thành"))</f>
        <v/>
      </c>
      <c r="AM15" s="53"/>
      <c r="AN15" s="53"/>
      <c r="AO15" s="50"/>
      <c r="AP15" s="53"/>
      <c r="AQ15" s="53"/>
      <c r="AR15" s="50"/>
      <c r="AS15" s="53"/>
      <c r="AT15" s="53"/>
      <c r="AU15" s="50"/>
      <c r="AV15" s="53"/>
      <c r="AW15" s="53"/>
      <c r="AX15" s="50"/>
      <c r="AY15" s="53"/>
      <c r="AZ15" s="53"/>
      <c r="BA15" s="50"/>
      <c r="BB15" s="53"/>
      <c r="BC15" s="53"/>
      <c r="BD15" s="50"/>
    </row>
    <row r="16" spans="1:56" ht="25.5" customHeight="1" x14ac:dyDescent="0.2">
      <c r="A16" s="49" t="s">
        <v>158</v>
      </c>
      <c r="B16" s="49"/>
      <c r="C16" s="49" t="s">
        <v>142</v>
      </c>
      <c r="D16" s="57" t="s">
        <v>135</v>
      </c>
      <c r="E16" s="50" t="s">
        <v>159</v>
      </c>
      <c r="F16" s="49" t="str">
        <f>+F13</f>
        <v>An Dương</v>
      </c>
      <c r="G16" s="51"/>
      <c r="H16" s="51">
        <v>46208</v>
      </c>
      <c r="I16" s="54"/>
      <c r="J16" s="51"/>
      <c r="K16" s="49"/>
      <c r="L16" s="49"/>
      <c r="M16" s="49"/>
      <c r="N16" s="51"/>
      <c r="O16" s="49"/>
      <c r="P16" s="51"/>
      <c r="Q16" s="49"/>
      <c r="R16" s="51"/>
      <c r="S16" s="49"/>
      <c r="T16" s="54"/>
      <c r="U16" s="55" t="str">
        <f t="shared" si="0"/>
        <v/>
      </c>
      <c r="V16" s="51"/>
      <c r="W16" s="49"/>
      <c r="X16" s="51"/>
      <c r="Y16" s="49"/>
      <c r="Z16" s="52" t="str">
        <f t="shared" si="1"/>
        <v/>
      </c>
      <c r="AA16" s="52" t="str">
        <f t="shared" si="2"/>
        <v/>
      </c>
      <c r="AB16" s="52" t="str">
        <f t="shared" si="3"/>
        <v/>
      </c>
      <c r="AC16" s="52" t="str">
        <f t="shared" si="4"/>
        <v/>
      </c>
      <c r="AD16" s="51"/>
      <c r="AE16" s="52" t="str">
        <f>IF($B16="","",COUNTIFS('01_HSo TienKC'!$B:$B,$B16,'01_HSo TienKC'!$J:$J,"Đã duyệt"))</f>
        <v/>
      </c>
      <c r="AF16" s="39"/>
      <c r="AG16" s="39"/>
      <c r="AH16" s="39"/>
      <c r="AI16" s="52" t="str">
        <f>IF($B16="","",COUNTIFS('02_KH Thang_Tuan'!$B:$B,$B16,'02_KH Thang_Tuan'!$J:$J,"Đã duyệt")&amp;"/"&amp;COUNTIFS('02_KH Thang_Tuan'!$B:$B,$B16))</f>
        <v/>
      </c>
      <c r="AJ16" s="52" t="str">
        <f>IF($B16="","",COUNTIFS('03_Phat sinh'!$C:$C,$B16,'03_Phat sinh'!$M:$M,"&lt;&gt;Đã duyệt"))</f>
        <v/>
      </c>
      <c r="AK16" s="52" t="str">
        <f>IF($B16="","",COUNTIFS('04_CU dac thu'!$C:$C,$B16,'04_CU dac thu'!$N:$N,"&lt;&gt;Đã duyệt"))</f>
        <v/>
      </c>
      <c r="AL16" s="52" t="str">
        <f>IF($B16="","",COUNTIFS('05_Bu tien do'!$B:$B,$B16,'05_Bu tien do'!$N:$N,"&lt;&gt;Đã hoàn thành"))</f>
        <v/>
      </c>
      <c r="AM16" s="53"/>
      <c r="AN16" s="53"/>
      <c r="AO16" s="50"/>
      <c r="AP16" s="53"/>
      <c r="AQ16" s="53"/>
      <c r="AR16" s="50"/>
      <c r="AS16" s="53"/>
      <c r="AT16" s="53"/>
      <c r="AU16" s="50"/>
      <c r="AV16" s="53"/>
      <c r="AW16" s="53"/>
      <c r="AX16" s="50"/>
      <c r="AY16" s="53"/>
      <c r="AZ16" s="53"/>
      <c r="BA16" s="50"/>
      <c r="BB16" s="53"/>
      <c r="BC16" s="53"/>
      <c r="BD16" s="50"/>
    </row>
    <row r="17" spans="1:56" ht="25.5" customHeight="1" x14ac:dyDescent="0.2">
      <c r="A17" s="49" t="s">
        <v>160</v>
      </c>
      <c r="B17" s="49"/>
      <c r="C17" s="49" t="s">
        <v>142</v>
      </c>
      <c r="D17" s="57" t="s">
        <v>135</v>
      </c>
      <c r="E17" s="50" t="s">
        <v>161</v>
      </c>
      <c r="F17" s="49" t="str">
        <f>+F15</f>
        <v>HĐLCNT / Tổng thầu</v>
      </c>
      <c r="G17" s="51">
        <v>46213</v>
      </c>
      <c r="H17" s="51">
        <v>46295</v>
      </c>
      <c r="I17" s="54"/>
      <c r="J17" s="51"/>
      <c r="K17" s="49"/>
      <c r="L17" s="49"/>
      <c r="M17" s="49"/>
      <c r="N17" s="51"/>
      <c r="O17" s="49"/>
      <c r="P17" s="51"/>
      <c r="Q17" s="49"/>
      <c r="R17" s="51"/>
      <c r="S17" s="49"/>
      <c r="T17" s="54"/>
      <c r="U17" s="55" t="str">
        <f t="shared" si="0"/>
        <v/>
      </c>
      <c r="V17" s="51"/>
      <c r="W17" s="49"/>
      <c r="X17" s="51"/>
      <c r="Y17" s="49"/>
      <c r="Z17" s="52" t="str">
        <f t="shared" si="1"/>
        <v/>
      </c>
      <c r="AA17" s="52" t="str">
        <f t="shared" si="2"/>
        <v/>
      </c>
      <c r="AB17" s="52" t="str">
        <f t="shared" si="3"/>
        <v/>
      </c>
      <c r="AC17" s="52" t="str">
        <f t="shared" si="4"/>
        <v/>
      </c>
      <c r="AD17" s="51"/>
      <c r="AE17" s="52" t="str">
        <f>IF($B17="","",COUNTIFS('01_HSo TienKC'!$B:$B,$B17,'01_HSo TienKC'!$J:$J,"Đã duyệt"))</f>
        <v/>
      </c>
      <c r="AF17" s="39"/>
      <c r="AG17" s="39"/>
      <c r="AH17" s="39"/>
      <c r="AI17" s="52" t="str">
        <f>IF($B17="","",COUNTIFS('02_KH Thang_Tuan'!$B:$B,$B17,'02_KH Thang_Tuan'!$J:$J,"Đã duyệt")&amp;"/"&amp;COUNTIFS('02_KH Thang_Tuan'!$B:$B,$B17))</f>
        <v/>
      </c>
      <c r="AJ17" s="52" t="str">
        <f>IF($B17="","",COUNTIFS('03_Phat sinh'!$C:$C,$B17,'03_Phat sinh'!$M:$M,"&lt;&gt;Đã duyệt"))</f>
        <v/>
      </c>
      <c r="AK17" s="52" t="str">
        <f>IF($B17="","",COUNTIFS('04_CU dac thu'!$C:$C,$B17,'04_CU dac thu'!$N:$N,"&lt;&gt;Đã duyệt"))</f>
        <v/>
      </c>
      <c r="AL17" s="52" t="str">
        <f>IF($B17="","",COUNTIFS('05_Bu tien do'!$B:$B,$B17,'05_Bu tien do'!$N:$N,"&lt;&gt;Đã hoàn thành"))</f>
        <v/>
      </c>
      <c r="AM17" s="53"/>
      <c r="AN17" s="53"/>
      <c r="AO17" s="50"/>
      <c r="AP17" s="53"/>
      <c r="AQ17" s="53"/>
      <c r="AR17" s="50"/>
      <c r="AS17" s="53"/>
      <c r="AT17" s="53"/>
      <c r="AU17" s="50"/>
      <c r="AV17" s="53"/>
      <c r="AW17" s="53"/>
      <c r="AX17" s="50"/>
      <c r="AY17" s="53"/>
      <c r="AZ17" s="53"/>
      <c r="BA17" s="50"/>
      <c r="BB17" s="53"/>
      <c r="BC17" s="53"/>
      <c r="BD17" s="50"/>
    </row>
    <row r="18" spans="1:56" ht="25.5" customHeight="1" x14ac:dyDescent="0.2">
      <c r="A18" s="49" t="s">
        <v>162</v>
      </c>
      <c r="B18" s="49"/>
      <c r="C18" s="49" t="s">
        <v>142</v>
      </c>
      <c r="D18" s="57" t="s">
        <v>135</v>
      </c>
      <c r="E18" s="50" t="s">
        <v>163</v>
      </c>
      <c r="F18" s="49" t="str">
        <f>+F17</f>
        <v>HĐLCNT / Tổng thầu</v>
      </c>
      <c r="G18" s="51">
        <v>46213</v>
      </c>
      <c r="H18" s="51">
        <v>46295</v>
      </c>
      <c r="I18" s="54"/>
      <c r="J18" s="51"/>
      <c r="K18" s="49"/>
      <c r="L18" s="49"/>
      <c r="M18" s="49"/>
      <c r="N18" s="51"/>
      <c r="O18" s="49"/>
      <c r="P18" s="51"/>
      <c r="Q18" s="49"/>
      <c r="R18" s="51"/>
      <c r="S18" s="49"/>
      <c r="T18" s="54"/>
      <c r="U18" s="55" t="str">
        <f t="shared" si="0"/>
        <v/>
      </c>
      <c r="V18" s="51"/>
      <c r="W18" s="49"/>
      <c r="X18" s="51"/>
      <c r="Y18" s="49"/>
      <c r="Z18" s="52" t="str">
        <f t="shared" si="1"/>
        <v/>
      </c>
      <c r="AA18" s="52" t="str">
        <f t="shared" si="2"/>
        <v/>
      </c>
      <c r="AB18" s="52" t="str">
        <f t="shared" si="3"/>
        <v/>
      </c>
      <c r="AC18" s="52" t="str">
        <f t="shared" si="4"/>
        <v/>
      </c>
      <c r="AD18" s="51"/>
      <c r="AE18" s="52" t="str">
        <f>IF($B18="","",COUNTIFS('01_HSo TienKC'!$B:$B,$B18,'01_HSo TienKC'!$J:$J,"Đã duyệt"))</f>
        <v/>
      </c>
      <c r="AF18" s="39"/>
      <c r="AG18" s="39"/>
      <c r="AH18" s="39"/>
      <c r="AI18" s="52" t="str">
        <f>IF($B18="","",COUNTIFS('02_KH Thang_Tuan'!$B:$B,$B18,'02_KH Thang_Tuan'!$J:$J,"Đã duyệt")&amp;"/"&amp;COUNTIFS('02_KH Thang_Tuan'!$B:$B,$B18))</f>
        <v/>
      </c>
      <c r="AJ18" s="52" t="str">
        <f>IF($B18="","",COUNTIFS('03_Phat sinh'!$C:$C,$B18,'03_Phat sinh'!$M:$M,"&lt;&gt;Đã duyệt"))</f>
        <v/>
      </c>
      <c r="AK18" s="52" t="str">
        <f>IF($B18="","",COUNTIFS('04_CU dac thu'!$C:$C,$B18,'04_CU dac thu'!$N:$N,"&lt;&gt;Đã duyệt"))</f>
        <v/>
      </c>
      <c r="AL18" s="52" t="str">
        <f>IF($B18="","",COUNTIFS('05_Bu tien do'!$B:$B,$B18,'05_Bu tien do'!$N:$N,"&lt;&gt;Đã hoàn thành"))</f>
        <v/>
      </c>
      <c r="AM18" s="53"/>
      <c r="AN18" s="53"/>
      <c r="AO18" s="50"/>
      <c r="AP18" s="53"/>
      <c r="AQ18" s="53"/>
      <c r="AR18" s="50"/>
      <c r="AS18" s="53"/>
      <c r="AT18" s="53"/>
      <c r="AU18" s="50"/>
      <c r="AV18" s="53"/>
      <c r="AW18" s="53"/>
      <c r="AX18" s="50"/>
      <c r="AY18" s="53"/>
      <c r="AZ18" s="53"/>
      <c r="BA18" s="50"/>
      <c r="BB18" s="53"/>
      <c r="BC18" s="53"/>
      <c r="BD18" s="50"/>
    </row>
    <row r="19" spans="1:56" ht="25.5" customHeight="1" x14ac:dyDescent="0.2">
      <c r="A19" s="49" t="s">
        <v>164</v>
      </c>
      <c r="B19" s="49"/>
      <c r="C19" s="49" t="s">
        <v>142</v>
      </c>
      <c r="D19" s="57" t="s">
        <v>135</v>
      </c>
      <c r="E19" s="50" t="s">
        <v>165</v>
      </c>
      <c r="F19" s="49" t="str">
        <f>+F13</f>
        <v>An Dương</v>
      </c>
      <c r="G19" s="51">
        <v>46198</v>
      </c>
      <c r="H19" s="51">
        <v>46233</v>
      </c>
      <c r="I19" s="54"/>
      <c r="J19" s="51"/>
      <c r="K19" s="49"/>
      <c r="L19" s="49"/>
      <c r="M19" s="49"/>
      <c r="N19" s="51"/>
      <c r="O19" s="49"/>
      <c r="P19" s="51"/>
      <c r="Q19" s="49"/>
      <c r="R19" s="51"/>
      <c r="S19" s="49"/>
      <c r="T19" s="54"/>
      <c r="U19" s="55" t="str">
        <f t="shared" si="0"/>
        <v/>
      </c>
      <c r="V19" s="51"/>
      <c r="W19" s="49"/>
      <c r="X19" s="51"/>
      <c r="Y19" s="49"/>
      <c r="Z19" s="52" t="str">
        <f t="shared" si="1"/>
        <v/>
      </c>
      <c r="AA19" s="52" t="str">
        <f t="shared" si="2"/>
        <v/>
      </c>
      <c r="AB19" s="52" t="str">
        <f t="shared" si="3"/>
        <v/>
      </c>
      <c r="AC19" s="52" t="str">
        <f t="shared" si="4"/>
        <v/>
      </c>
      <c r="AD19" s="51"/>
      <c r="AE19" s="52" t="str">
        <f>IF($B19="","",COUNTIFS('01_HSo TienKC'!$B:$B,$B19,'01_HSo TienKC'!$J:$J,"Đã duyệt"))</f>
        <v/>
      </c>
      <c r="AF19" s="39"/>
      <c r="AG19" s="39"/>
      <c r="AH19" s="39"/>
      <c r="AI19" s="52" t="str">
        <f>IF($B19="","",COUNTIFS('02_KH Thang_Tuan'!$B:$B,$B19,'02_KH Thang_Tuan'!$J:$J,"Đã duyệt")&amp;"/"&amp;COUNTIFS('02_KH Thang_Tuan'!$B:$B,$B19))</f>
        <v/>
      </c>
      <c r="AJ19" s="52" t="str">
        <f>IF($B19="","",COUNTIFS('03_Phat sinh'!$C:$C,$B19,'03_Phat sinh'!$M:$M,"&lt;&gt;Đã duyệt"))</f>
        <v/>
      </c>
      <c r="AK19" s="52" t="str">
        <f>IF($B19="","",COUNTIFS('04_CU dac thu'!$C:$C,$B19,'04_CU dac thu'!$N:$N,"&lt;&gt;Đã duyệt"))</f>
        <v/>
      </c>
      <c r="AL19" s="52" t="str">
        <f>IF($B19="","",COUNTIFS('05_Bu tien do'!$B:$B,$B19,'05_Bu tien do'!$N:$N,"&lt;&gt;Đã hoàn thành"))</f>
        <v/>
      </c>
      <c r="AM19" s="53"/>
      <c r="AN19" s="53"/>
      <c r="AO19" s="50"/>
      <c r="AP19" s="53"/>
      <c r="AQ19" s="53"/>
      <c r="AR19" s="50"/>
      <c r="AS19" s="53"/>
      <c r="AT19" s="53"/>
      <c r="AU19" s="50"/>
      <c r="AV19" s="53"/>
      <c r="AW19" s="53"/>
      <c r="AX19" s="50"/>
      <c r="AY19" s="53"/>
      <c r="AZ19" s="53"/>
      <c r="BA19" s="50"/>
      <c r="BB19" s="53"/>
      <c r="BC19" s="53"/>
      <c r="BD19" s="50"/>
    </row>
    <row r="20" spans="1:56" ht="25.5" customHeight="1" x14ac:dyDescent="0.2">
      <c r="A20" s="49" t="s">
        <v>166</v>
      </c>
      <c r="B20" s="49"/>
      <c r="C20" s="49" t="s">
        <v>142</v>
      </c>
      <c r="D20" s="57" t="s">
        <v>135</v>
      </c>
      <c r="E20" s="50" t="s">
        <v>167</v>
      </c>
      <c r="F20" s="49" t="str">
        <f>+F18</f>
        <v>HĐLCNT / Tổng thầu</v>
      </c>
      <c r="G20" s="51">
        <v>46213</v>
      </c>
      <c r="H20" s="51">
        <v>46302</v>
      </c>
      <c r="I20" s="54"/>
      <c r="J20" s="51"/>
      <c r="K20" s="49"/>
      <c r="L20" s="49"/>
      <c r="M20" s="49"/>
      <c r="N20" s="51"/>
      <c r="O20" s="49"/>
      <c r="P20" s="51"/>
      <c r="Q20" s="49"/>
      <c r="R20" s="51"/>
      <c r="S20" s="49"/>
      <c r="T20" s="54"/>
      <c r="U20" s="55" t="str">
        <f t="shared" si="0"/>
        <v/>
      </c>
      <c r="V20" s="51"/>
      <c r="W20" s="49"/>
      <c r="X20" s="51"/>
      <c r="Y20" s="49"/>
      <c r="Z20" s="52" t="str">
        <f t="shared" si="1"/>
        <v/>
      </c>
      <c r="AA20" s="52" t="str">
        <f t="shared" si="2"/>
        <v/>
      </c>
      <c r="AB20" s="52" t="str">
        <f t="shared" si="3"/>
        <v/>
      </c>
      <c r="AC20" s="52" t="str">
        <f t="shared" si="4"/>
        <v/>
      </c>
      <c r="AD20" s="51"/>
      <c r="AE20" s="52" t="str">
        <f>IF($B20="","",COUNTIFS('01_HSo TienKC'!$B:$B,$B20,'01_HSo TienKC'!$J:$J,"Đã duyệt"))</f>
        <v/>
      </c>
      <c r="AF20" s="39"/>
      <c r="AG20" s="39"/>
      <c r="AH20" s="39"/>
      <c r="AI20" s="52" t="str">
        <f>IF($B20="","",COUNTIFS('02_KH Thang_Tuan'!$B:$B,$B20,'02_KH Thang_Tuan'!$J:$J,"Đã duyệt")&amp;"/"&amp;COUNTIFS('02_KH Thang_Tuan'!$B:$B,$B20))</f>
        <v/>
      </c>
      <c r="AJ20" s="52" t="str">
        <f>IF($B20="","",COUNTIFS('03_Phat sinh'!$C:$C,$B20,'03_Phat sinh'!$M:$M,"&lt;&gt;Đã duyệt"))</f>
        <v/>
      </c>
      <c r="AK20" s="52" t="str">
        <f>IF($B20="","",COUNTIFS('04_CU dac thu'!$C:$C,$B20,'04_CU dac thu'!$N:$N,"&lt;&gt;Đã duyệt"))</f>
        <v/>
      </c>
      <c r="AL20" s="52" t="str">
        <f>IF($B20="","",COUNTIFS('05_Bu tien do'!$B:$B,$B20,'05_Bu tien do'!$N:$N,"&lt;&gt;Đã hoàn thành"))</f>
        <v/>
      </c>
      <c r="AM20" s="53"/>
      <c r="AN20" s="53"/>
      <c r="AO20" s="50"/>
      <c r="AP20" s="53"/>
      <c r="AQ20" s="53"/>
      <c r="AR20" s="50"/>
      <c r="AS20" s="53"/>
      <c r="AT20" s="53"/>
      <c r="AU20" s="50"/>
      <c r="AV20" s="53"/>
      <c r="AW20" s="53"/>
      <c r="AX20" s="50"/>
      <c r="AY20" s="53"/>
      <c r="AZ20" s="53"/>
      <c r="BA20" s="50"/>
      <c r="BB20" s="53"/>
      <c r="BC20" s="53"/>
      <c r="BD20" s="50"/>
    </row>
    <row r="21" spans="1:56" ht="25.5" customHeight="1" x14ac:dyDescent="0.2">
      <c r="A21" s="49" t="s">
        <v>168</v>
      </c>
      <c r="B21" s="49"/>
      <c r="C21" s="49" t="s">
        <v>142</v>
      </c>
      <c r="D21" s="57" t="s">
        <v>135</v>
      </c>
      <c r="E21" s="50" t="s">
        <v>169</v>
      </c>
      <c r="F21" s="49" t="str">
        <f>+F20</f>
        <v>HĐLCNT / Tổng thầu</v>
      </c>
      <c r="G21" s="51">
        <v>46271</v>
      </c>
      <c r="H21" s="51">
        <v>46302</v>
      </c>
      <c r="I21" s="54"/>
      <c r="J21" s="51"/>
      <c r="K21" s="49"/>
      <c r="L21" s="49"/>
      <c r="M21" s="49"/>
      <c r="N21" s="51"/>
      <c r="O21" s="49"/>
      <c r="P21" s="51"/>
      <c r="Q21" s="49"/>
      <c r="R21" s="51"/>
      <c r="S21" s="49"/>
      <c r="T21" s="54"/>
      <c r="U21" s="55" t="str">
        <f t="shared" si="0"/>
        <v/>
      </c>
      <c r="V21" s="51"/>
      <c r="W21" s="49"/>
      <c r="X21" s="51"/>
      <c r="Y21" s="49"/>
      <c r="Z21" s="52" t="str">
        <f t="shared" si="1"/>
        <v/>
      </c>
      <c r="AA21" s="52" t="str">
        <f t="shared" si="2"/>
        <v/>
      </c>
      <c r="AB21" s="52" t="str">
        <f t="shared" si="3"/>
        <v/>
      </c>
      <c r="AC21" s="52" t="str">
        <f t="shared" si="4"/>
        <v/>
      </c>
      <c r="AD21" s="51"/>
      <c r="AE21" s="52" t="str">
        <f>IF($B21="","",COUNTIFS('01_HSo TienKC'!$B:$B,$B21,'01_HSo TienKC'!$J:$J,"Đã duyệt"))</f>
        <v/>
      </c>
      <c r="AF21" s="39"/>
      <c r="AG21" s="39"/>
      <c r="AH21" s="39"/>
      <c r="AI21" s="52" t="str">
        <f>IF($B21="","",COUNTIFS('02_KH Thang_Tuan'!$B:$B,$B21,'02_KH Thang_Tuan'!$J:$J,"Đã duyệt")&amp;"/"&amp;COUNTIFS('02_KH Thang_Tuan'!$B:$B,$B21))</f>
        <v/>
      </c>
      <c r="AJ21" s="52" t="str">
        <f>IF($B21="","",COUNTIFS('03_Phat sinh'!$C:$C,$B21,'03_Phat sinh'!$M:$M,"&lt;&gt;Đã duyệt"))</f>
        <v/>
      </c>
      <c r="AK21" s="52" t="str">
        <f>IF($B21="","",COUNTIFS('04_CU dac thu'!$C:$C,$B21,'04_CU dac thu'!$N:$N,"&lt;&gt;Đã duyệt"))</f>
        <v/>
      </c>
      <c r="AL21" s="52" t="str">
        <f>IF($B21="","",COUNTIFS('05_Bu tien do'!$B:$B,$B21,'05_Bu tien do'!$N:$N,"&lt;&gt;Đã hoàn thành"))</f>
        <v/>
      </c>
      <c r="AM21" s="53"/>
      <c r="AN21" s="53"/>
      <c r="AO21" s="50"/>
      <c r="AP21" s="53"/>
      <c r="AQ21" s="53"/>
      <c r="AR21" s="50"/>
      <c r="AS21" s="53"/>
      <c r="AT21" s="53"/>
      <c r="AU21" s="50"/>
      <c r="AV21" s="53"/>
      <c r="AW21" s="53"/>
      <c r="AX21" s="50"/>
      <c r="AY21" s="53"/>
      <c r="AZ21" s="53"/>
      <c r="BA21" s="50"/>
      <c r="BB21" s="53"/>
      <c r="BC21" s="53"/>
      <c r="BD21" s="50"/>
    </row>
    <row r="22" spans="1:56" ht="25.5" customHeight="1" x14ac:dyDescent="0.2">
      <c r="A22" s="49" t="s">
        <v>170</v>
      </c>
      <c r="B22" s="49"/>
      <c r="C22" s="49" t="s">
        <v>142</v>
      </c>
      <c r="D22" s="57" t="s">
        <v>135</v>
      </c>
      <c r="E22" s="50" t="s">
        <v>171</v>
      </c>
      <c r="F22" s="49" t="str">
        <f>+F21</f>
        <v>HĐLCNT / Tổng thầu</v>
      </c>
      <c r="G22" s="51">
        <v>46249</v>
      </c>
      <c r="H22" s="51">
        <v>46302</v>
      </c>
      <c r="I22" s="54"/>
      <c r="J22" s="51"/>
      <c r="K22" s="49"/>
      <c r="L22" s="49"/>
      <c r="M22" s="49"/>
      <c r="N22" s="51"/>
      <c r="O22" s="49"/>
      <c r="P22" s="51"/>
      <c r="Q22" s="49"/>
      <c r="R22" s="51"/>
      <c r="S22" s="49"/>
      <c r="T22" s="54"/>
      <c r="U22" s="55" t="str">
        <f t="shared" si="0"/>
        <v/>
      </c>
      <c r="V22" s="51"/>
      <c r="W22" s="49"/>
      <c r="X22" s="51"/>
      <c r="Y22" s="49"/>
      <c r="Z22" s="52" t="str">
        <f t="shared" si="1"/>
        <v/>
      </c>
      <c r="AA22" s="52" t="str">
        <f t="shared" si="2"/>
        <v/>
      </c>
      <c r="AB22" s="52" t="str">
        <f t="shared" si="3"/>
        <v/>
      </c>
      <c r="AC22" s="52" t="str">
        <f t="shared" si="4"/>
        <v/>
      </c>
      <c r="AD22" s="51"/>
      <c r="AE22" s="52" t="str">
        <f>IF($B22="","",COUNTIFS('01_HSo TienKC'!$B:$B,$B22,'01_HSo TienKC'!$J:$J,"Đã duyệt"))</f>
        <v/>
      </c>
      <c r="AF22" s="39"/>
      <c r="AG22" s="39"/>
      <c r="AH22" s="39"/>
      <c r="AI22" s="52" t="str">
        <f>IF($B22="","",COUNTIFS('02_KH Thang_Tuan'!$B:$B,$B22,'02_KH Thang_Tuan'!$J:$J,"Đã duyệt")&amp;"/"&amp;COUNTIFS('02_KH Thang_Tuan'!$B:$B,$B22))</f>
        <v/>
      </c>
      <c r="AJ22" s="52" t="str">
        <f>IF($B22="","",COUNTIFS('03_Phat sinh'!$C:$C,$B22,'03_Phat sinh'!$M:$M,"&lt;&gt;Đã duyệt"))</f>
        <v/>
      </c>
      <c r="AK22" s="52" t="str">
        <f>IF($B22="","",COUNTIFS('04_CU dac thu'!$C:$C,$B22,'04_CU dac thu'!$N:$N,"&lt;&gt;Đã duyệt"))</f>
        <v/>
      </c>
      <c r="AL22" s="52" t="str">
        <f>IF($B22="","",COUNTIFS('05_Bu tien do'!$B:$B,$B22,'05_Bu tien do'!$N:$N,"&lt;&gt;Đã hoàn thành"))</f>
        <v/>
      </c>
      <c r="AM22" s="53"/>
      <c r="AN22" s="53"/>
      <c r="AO22" s="50"/>
      <c r="AP22" s="53"/>
      <c r="AQ22" s="53"/>
      <c r="AR22" s="50"/>
      <c r="AS22" s="53"/>
      <c r="AT22" s="53"/>
      <c r="AU22" s="50"/>
      <c r="AV22" s="53"/>
      <c r="AW22" s="53"/>
      <c r="AX22" s="50"/>
      <c r="AY22" s="53"/>
      <c r="AZ22" s="53"/>
      <c r="BA22" s="50"/>
      <c r="BB22" s="53"/>
      <c r="BC22" s="53"/>
      <c r="BD22" s="50"/>
    </row>
    <row r="23" spans="1:56" ht="25.5" customHeight="1" x14ac:dyDescent="0.2">
      <c r="A23" s="49" t="s">
        <v>172</v>
      </c>
      <c r="B23" s="49"/>
      <c r="C23" s="49" t="s">
        <v>142</v>
      </c>
      <c r="D23" s="57" t="s">
        <v>135</v>
      </c>
      <c r="E23" s="50" t="s">
        <v>173</v>
      </c>
      <c r="F23" s="49" t="str">
        <f>+F22</f>
        <v>HĐLCNT / Tổng thầu</v>
      </c>
      <c r="G23" s="51">
        <v>46204</v>
      </c>
      <c r="H23" s="51">
        <v>46233</v>
      </c>
      <c r="I23" s="54">
        <v>0.5</v>
      </c>
      <c r="J23" s="51"/>
      <c r="K23" s="49" t="s">
        <v>124</v>
      </c>
      <c r="L23" s="49" t="s">
        <v>125</v>
      </c>
      <c r="M23" s="49" t="s">
        <v>126</v>
      </c>
      <c r="N23" s="51">
        <v>46191</v>
      </c>
      <c r="O23" s="49" t="s">
        <v>174</v>
      </c>
      <c r="P23" s="51">
        <v>46203</v>
      </c>
      <c r="Q23" s="49" t="s">
        <v>175</v>
      </c>
      <c r="R23" s="51"/>
      <c r="S23" s="49"/>
      <c r="T23" s="54"/>
      <c r="U23" s="55" t="str">
        <f t="shared" si="0"/>
        <v/>
      </c>
      <c r="V23" s="51"/>
      <c r="W23" s="49"/>
      <c r="X23" s="51"/>
      <c r="Y23" s="49"/>
      <c r="Z23" s="52" t="str">
        <f t="shared" si="1"/>
        <v/>
      </c>
      <c r="AA23" s="52" t="str">
        <f t="shared" si="2"/>
        <v/>
      </c>
      <c r="AB23" s="52" t="str">
        <f t="shared" si="3"/>
        <v/>
      </c>
      <c r="AC23" s="52" t="str">
        <f t="shared" si="4"/>
        <v/>
      </c>
      <c r="AD23" s="51"/>
      <c r="AE23" s="52" t="str">
        <f>IF($B23="","",COUNTIFS('01_HSo TienKC'!$B:$B,$B23,'01_HSo TienKC'!$J:$J,"Đã duyệt"))</f>
        <v/>
      </c>
      <c r="AF23" s="39"/>
      <c r="AG23" s="39"/>
      <c r="AH23" s="39"/>
      <c r="AI23" s="52" t="str">
        <f>IF($B23="","",COUNTIFS('02_KH Thang_Tuan'!$B:$B,$B23,'02_KH Thang_Tuan'!$J:$J,"Đã duyệt")&amp;"/"&amp;COUNTIFS('02_KH Thang_Tuan'!$B:$B,$B23))</f>
        <v/>
      </c>
      <c r="AJ23" s="52" t="str">
        <f>IF($B23="","",COUNTIFS('03_Phat sinh'!$C:$C,$B23,'03_Phat sinh'!$M:$M,"&lt;&gt;Đã duyệt"))</f>
        <v/>
      </c>
      <c r="AK23" s="52" t="str">
        <f>IF($B23="","",COUNTIFS('04_CU dac thu'!$C:$C,$B23,'04_CU dac thu'!$N:$N,"&lt;&gt;Đã duyệt"))</f>
        <v/>
      </c>
      <c r="AL23" s="52" t="str">
        <f>IF($B23="","",COUNTIFS('05_Bu tien do'!$B:$B,$B23,'05_Bu tien do'!$N:$N,"&lt;&gt;Đã hoàn thành"))</f>
        <v/>
      </c>
      <c r="AM23" s="53"/>
      <c r="AN23" s="53"/>
      <c r="AO23" s="50"/>
      <c r="AP23" s="53"/>
      <c r="AQ23" s="53"/>
      <c r="AR23" s="50"/>
      <c r="AS23" s="53"/>
      <c r="AT23" s="53"/>
      <c r="AU23" s="50"/>
      <c r="AV23" s="53"/>
      <c r="AW23" s="53"/>
      <c r="AX23" s="50"/>
      <c r="AY23" s="53"/>
      <c r="AZ23" s="53"/>
      <c r="BA23" s="50"/>
      <c r="BB23" s="53"/>
      <c r="BC23" s="53"/>
      <c r="BD23" s="50"/>
    </row>
    <row r="24" spans="1:56" ht="25.5" customHeight="1" x14ac:dyDescent="0.2">
      <c r="A24" s="49" t="s">
        <v>176</v>
      </c>
      <c r="B24" s="49"/>
      <c r="C24" s="49" t="s">
        <v>142</v>
      </c>
      <c r="D24" s="57" t="s">
        <v>135</v>
      </c>
      <c r="E24" s="50" t="s">
        <v>177</v>
      </c>
      <c r="F24" s="49" t="str">
        <f>+F16</f>
        <v>An Dương</v>
      </c>
      <c r="G24" s="51"/>
      <c r="H24" s="51"/>
      <c r="I24" s="54"/>
      <c r="J24" s="51"/>
      <c r="K24" s="49"/>
      <c r="L24" s="49"/>
      <c r="M24" s="49"/>
      <c r="N24" s="51"/>
      <c r="O24" s="49"/>
      <c r="P24" s="51"/>
      <c r="Q24" s="49"/>
      <c r="R24" s="51"/>
      <c r="S24" s="49"/>
      <c r="T24" s="54"/>
      <c r="U24" s="55"/>
      <c r="V24" s="51"/>
      <c r="W24" s="49"/>
      <c r="X24" s="51"/>
      <c r="Y24" s="49"/>
      <c r="Z24" s="52"/>
      <c r="AA24" s="52"/>
      <c r="AB24" s="52"/>
      <c r="AC24" s="52"/>
      <c r="AD24" s="51"/>
      <c r="AE24" s="52"/>
      <c r="AF24" s="39"/>
      <c r="AG24" s="39"/>
      <c r="AH24" s="39"/>
      <c r="AI24" s="52"/>
      <c r="AJ24" s="52"/>
      <c r="AK24" s="52"/>
      <c r="AL24" s="52"/>
      <c r="AM24" s="53"/>
      <c r="AN24" s="53"/>
      <c r="AO24" s="50"/>
      <c r="AP24" s="53"/>
      <c r="AQ24" s="53"/>
      <c r="AR24" s="50"/>
      <c r="AS24" s="53"/>
      <c r="AT24" s="53"/>
      <c r="AU24" s="50"/>
      <c r="AV24" s="53"/>
      <c r="AW24" s="53"/>
      <c r="AX24" s="50"/>
      <c r="AY24" s="53"/>
      <c r="AZ24" s="53"/>
      <c r="BA24" s="50"/>
      <c r="BB24" s="53"/>
      <c r="BC24" s="53"/>
      <c r="BD24" s="50"/>
    </row>
    <row r="25" spans="1:56" ht="25.5" customHeight="1" x14ac:dyDescent="0.2">
      <c r="A25" s="49" t="s">
        <v>178</v>
      </c>
      <c r="B25" s="49"/>
      <c r="C25" s="49" t="s">
        <v>142</v>
      </c>
      <c r="D25" s="57" t="s">
        <v>135</v>
      </c>
      <c r="E25" s="50" t="s">
        <v>179</v>
      </c>
      <c r="F25" s="49" t="str">
        <f>+F24</f>
        <v>An Dương</v>
      </c>
      <c r="G25" s="51">
        <v>46204</v>
      </c>
      <c r="H25" s="51">
        <v>46223</v>
      </c>
      <c r="I25" s="54"/>
      <c r="J25" s="51"/>
      <c r="K25" s="49"/>
      <c r="L25" s="49"/>
      <c r="M25" s="49"/>
      <c r="N25" s="51"/>
      <c r="O25" s="49"/>
      <c r="P25" s="51"/>
      <c r="Q25" s="49"/>
      <c r="R25" s="51"/>
      <c r="S25" s="49"/>
      <c r="T25" s="54"/>
      <c r="U25" s="55"/>
      <c r="V25" s="51"/>
      <c r="W25" s="49"/>
      <c r="X25" s="51"/>
      <c r="Y25" s="49"/>
      <c r="Z25" s="52"/>
      <c r="AA25" s="52"/>
      <c r="AB25" s="52"/>
      <c r="AC25" s="52"/>
      <c r="AD25" s="51"/>
      <c r="AE25" s="52"/>
      <c r="AF25" s="39"/>
      <c r="AG25" s="39"/>
      <c r="AH25" s="39"/>
      <c r="AI25" s="52"/>
      <c r="AJ25" s="52"/>
      <c r="AK25" s="52"/>
      <c r="AL25" s="52"/>
      <c r="AM25" s="53"/>
      <c r="AN25" s="53"/>
      <c r="AO25" s="50"/>
      <c r="AP25" s="53"/>
      <c r="AQ25" s="53"/>
      <c r="AR25" s="50"/>
      <c r="AS25" s="53"/>
      <c r="AT25" s="53"/>
      <c r="AU25" s="50"/>
      <c r="AV25" s="53"/>
      <c r="AW25" s="53"/>
      <c r="AX25" s="50"/>
      <c r="AY25" s="53"/>
      <c r="AZ25" s="53"/>
      <c r="BA25" s="50"/>
      <c r="BB25" s="53"/>
      <c r="BC25" s="53"/>
      <c r="BD25" s="50"/>
    </row>
    <row r="26" spans="1:56" ht="25.5" customHeight="1" x14ac:dyDescent="0.2">
      <c r="A26" s="49" t="s">
        <v>180</v>
      </c>
      <c r="B26" s="49"/>
      <c r="C26" s="49" t="s">
        <v>142</v>
      </c>
      <c r="D26" s="57" t="s">
        <v>135</v>
      </c>
      <c r="E26" s="50" t="s">
        <v>181</v>
      </c>
      <c r="F26" s="49" t="str">
        <f>+F25</f>
        <v>An Dương</v>
      </c>
      <c r="G26" s="51"/>
      <c r="H26" s="51"/>
      <c r="I26" s="54"/>
      <c r="J26" s="51"/>
      <c r="K26" s="49"/>
      <c r="L26" s="49"/>
      <c r="M26" s="49"/>
      <c r="N26" s="51"/>
      <c r="O26" s="49"/>
      <c r="P26" s="51"/>
      <c r="Q26" s="49"/>
      <c r="R26" s="51"/>
      <c r="S26" s="49"/>
      <c r="T26" s="54"/>
      <c r="U26" s="55"/>
      <c r="V26" s="51"/>
      <c r="W26" s="49"/>
      <c r="X26" s="51"/>
      <c r="Y26" s="49"/>
      <c r="Z26" s="52"/>
      <c r="AA26" s="52"/>
      <c r="AB26" s="52"/>
      <c r="AC26" s="52"/>
      <c r="AD26" s="51"/>
      <c r="AE26" s="52"/>
      <c r="AF26" s="39"/>
      <c r="AG26" s="39"/>
      <c r="AH26" s="39"/>
      <c r="AI26" s="52"/>
      <c r="AJ26" s="52"/>
      <c r="AK26" s="52"/>
      <c r="AL26" s="52"/>
      <c r="AM26" s="53"/>
      <c r="AN26" s="53"/>
      <c r="AO26" s="50"/>
      <c r="AP26" s="53"/>
      <c r="AQ26" s="53"/>
      <c r="AR26" s="50"/>
      <c r="AS26" s="53"/>
      <c r="AT26" s="53"/>
      <c r="AU26" s="50"/>
      <c r="AV26" s="53"/>
      <c r="AW26" s="53"/>
      <c r="AX26" s="50"/>
      <c r="AY26" s="53"/>
      <c r="AZ26" s="53"/>
      <c r="BA26" s="50"/>
      <c r="BB26" s="53"/>
      <c r="BC26" s="53"/>
      <c r="BD26" s="50"/>
    </row>
    <row r="27" spans="1:56" ht="25.5" customHeight="1" x14ac:dyDescent="0.2">
      <c r="A27" s="68" t="s">
        <v>182</v>
      </c>
      <c r="B27" s="49"/>
      <c r="C27" s="49" t="s">
        <v>142</v>
      </c>
      <c r="D27" s="57" t="s">
        <v>135</v>
      </c>
      <c r="E27" s="50" t="s">
        <v>183</v>
      </c>
      <c r="F27" s="49" t="str">
        <f>+F26</f>
        <v>An Dương</v>
      </c>
      <c r="G27" s="51">
        <v>46206</v>
      </c>
      <c r="H27" s="51">
        <v>46208</v>
      </c>
      <c r="I27" s="54"/>
      <c r="J27" s="51"/>
      <c r="K27" s="49"/>
      <c r="L27" s="49"/>
      <c r="M27" s="49"/>
      <c r="N27" s="51"/>
      <c r="O27" s="49"/>
      <c r="P27" s="51"/>
      <c r="Q27" s="49"/>
      <c r="R27" s="51"/>
      <c r="S27" s="49"/>
      <c r="T27" s="54"/>
      <c r="U27" s="55"/>
      <c r="V27" s="51"/>
      <c r="W27" s="49"/>
      <c r="X27" s="51"/>
      <c r="Y27" s="49"/>
      <c r="Z27" s="52"/>
      <c r="AA27" s="52"/>
      <c r="AB27" s="52"/>
      <c r="AC27" s="52"/>
      <c r="AD27" s="51"/>
      <c r="AE27" s="52"/>
      <c r="AF27" s="39"/>
      <c r="AG27" s="39"/>
      <c r="AH27" s="39"/>
      <c r="AI27" s="52"/>
      <c r="AJ27" s="52"/>
      <c r="AK27" s="52"/>
      <c r="AL27" s="52"/>
      <c r="AM27" s="53"/>
      <c r="AN27" s="53"/>
      <c r="AO27" s="50"/>
      <c r="AP27" s="53"/>
      <c r="AQ27" s="53"/>
      <c r="AR27" s="50"/>
      <c r="AS27" s="53"/>
      <c r="AT27" s="53"/>
      <c r="AU27" s="50"/>
      <c r="AV27" s="53"/>
      <c r="AW27" s="53"/>
      <c r="AX27" s="50"/>
      <c r="AY27" s="53"/>
      <c r="AZ27" s="53"/>
      <c r="BA27" s="50"/>
      <c r="BB27" s="53"/>
      <c r="BC27" s="53"/>
      <c r="BD27" s="50"/>
    </row>
    <row r="28" spans="1:56" s="61" customFormat="1" ht="25.5" customHeight="1" x14ac:dyDescent="0.2">
      <c r="A28" s="56">
        <v>3</v>
      </c>
      <c r="B28" s="56">
        <v>23</v>
      </c>
      <c r="C28" s="56" t="s">
        <v>184</v>
      </c>
      <c r="D28" s="56" t="s">
        <v>134</v>
      </c>
      <c r="E28" s="57" t="s">
        <v>185</v>
      </c>
      <c r="F28" s="56"/>
      <c r="G28" s="62">
        <f>+G29</f>
        <v>46101</v>
      </c>
      <c r="H28" s="62">
        <f>+H36</f>
        <v>46356</v>
      </c>
      <c r="I28" s="58">
        <f>+SUM(I29:I37)</f>
        <v>56.599999999999994</v>
      </c>
      <c r="J28" s="62"/>
      <c r="K28" s="56"/>
      <c r="L28" s="56"/>
      <c r="M28" s="56"/>
      <c r="N28" s="62"/>
      <c r="O28" s="56"/>
      <c r="P28" s="62"/>
      <c r="Q28" s="56"/>
      <c r="R28" s="62"/>
      <c r="S28" s="56"/>
      <c r="T28" s="58"/>
      <c r="U28" s="58" t="str">
        <f>IF(OR(I28="",T28=""),"",T28/I28)</f>
        <v/>
      </c>
      <c r="V28" s="62"/>
      <c r="W28" s="56"/>
      <c r="X28" s="62"/>
      <c r="Y28" s="56"/>
      <c r="Z28" s="56" t="str">
        <f>IF($B28="","",IF(AND(OR(K28="Đã phát hành",K28="Hoàn thiện"),M28="Đã bàn giao"),"✔","✘"))</f>
        <v>✘</v>
      </c>
      <c r="AA28" s="56" t="str">
        <f>IF($B28="","",IF(Q28="Đã CU","✔","✘"))</f>
        <v>✘</v>
      </c>
      <c r="AB28" s="56" t="str">
        <f>IF($B28="","",IF(Y28="Đã duyệt","✔","✘"))</f>
        <v>✘</v>
      </c>
      <c r="AC28" s="56" t="str">
        <f>IF($B28="","",IF(AND(Z28="✔",AA28="✔",AB28="✔"),"ĐỦ ĐK KHỞI CÔNG","THIẾU ĐK"))</f>
        <v>THIẾU ĐK</v>
      </c>
      <c r="AD28" s="62">
        <v>46174</v>
      </c>
      <c r="AE28" s="56">
        <f>IF($B28="","",COUNTIFS('01_HSo TienKC'!$B:$B,$B28,'01_HSo TienKC'!$J:$J,"Đã duyệt"))</f>
        <v>0</v>
      </c>
      <c r="AF28" s="59"/>
      <c r="AG28" s="59"/>
      <c r="AH28" s="59"/>
      <c r="AI28" s="56" t="str">
        <f>IF($B28="","",COUNTIFS('02_KH Thang_Tuan'!$B:$B,$B28,'02_KH Thang_Tuan'!$J:$J,"Đã duyệt")&amp;"/"&amp;COUNTIFS('02_KH Thang_Tuan'!$B:$B,$B28))</f>
        <v>0/0</v>
      </c>
      <c r="AJ28" s="56">
        <f>IF($B28="","",COUNTIFS('03_Phat sinh'!$C:$C,$B28,'03_Phat sinh'!$M:$M,"&lt;&gt;Đã duyệt"))</f>
        <v>0</v>
      </c>
      <c r="AK28" s="56">
        <f>IF($B28="","",COUNTIFS('04_CU dac thu'!$C:$C,$B28,'04_CU dac thu'!$N:$N,"&lt;&gt;Đã duyệt"))</f>
        <v>0</v>
      </c>
      <c r="AL28" s="56">
        <f>IF($B28="","",COUNTIFS('05_Bu tien do'!$B:$B,$B28,'05_Bu tien do'!$N:$N,"&lt;&gt;Đã hoàn thành"))</f>
        <v>0</v>
      </c>
      <c r="AM28" s="60">
        <v>0.25</v>
      </c>
      <c r="AN28" s="60">
        <v>0.22</v>
      </c>
      <c r="AO28" s="57" t="s">
        <v>137</v>
      </c>
      <c r="AP28" s="60">
        <v>0.25</v>
      </c>
      <c r="AQ28" s="60">
        <v>0.22</v>
      </c>
      <c r="AR28" s="57" t="s">
        <v>137</v>
      </c>
      <c r="AS28" s="60">
        <v>0.06</v>
      </c>
      <c r="AT28" s="60">
        <v>0.06</v>
      </c>
      <c r="AU28" s="57"/>
      <c r="AV28" s="60">
        <v>0.12</v>
      </c>
      <c r="AW28" s="60">
        <v>0.11</v>
      </c>
      <c r="AX28" s="57" t="s">
        <v>138</v>
      </c>
      <c r="AY28" s="60">
        <v>0.19</v>
      </c>
      <c r="AZ28" s="60">
        <v>0.16</v>
      </c>
      <c r="BA28" s="57" t="s">
        <v>139</v>
      </c>
      <c r="BB28" s="60">
        <v>0.25</v>
      </c>
      <c r="BC28" s="60">
        <v>0.22</v>
      </c>
      <c r="BD28" s="57" t="s">
        <v>140</v>
      </c>
    </row>
    <row r="29" spans="1:56" ht="25.5" customHeight="1" x14ac:dyDescent="0.2">
      <c r="A29" s="49" t="s">
        <v>186</v>
      </c>
      <c r="B29" s="49"/>
      <c r="C29" s="49" t="s">
        <v>142</v>
      </c>
      <c r="D29" s="57" t="s">
        <v>185</v>
      </c>
      <c r="E29" s="50" t="s">
        <v>143</v>
      </c>
      <c r="F29" s="49" t="s">
        <v>123</v>
      </c>
      <c r="G29" s="51">
        <v>46101</v>
      </c>
      <c r="H29" s="51">
        <v>46132</v>
      </c>
      <c r="I29" s="54">
        <v>12.91</v>
      </c>
      <c r="J29" s="51">
        <v>46023</v>
      </c>
      <c r="K29" s="49" t="s">
        <v>124</v>
      </c>
      <c r="L29" s="49" t="s">
        <v>125</v>
      </c>
      <c r="M29" s="49" t="s">
        <v>126</v>
      </c>
      <c r="N29" s="51">
        <v>46063</v>
      </c>
      <c r="O29" s="49" t="s">
        <v>187</v>
      </c>
      <c r="P29" s="51">
        <v>46063</v>
      </c>
      <c r="Q29" s="49" t="s">
        <v>128</v>
      </c>
      <c r="R29" s="51">
        <v>46101</v>
      </c>
      <c r="S29" s="49" t="s">
        <v>129</v>
      </c>
      <c r="T29" s="54">
        <f>1.41+4.6</f>
        <v>6.01</v>
      </c>
      <c r="U29" s="55">
        <f>IF(OR(I29="",T29=""),"",T29/I29)</f>
        <v>0.46553059643687061</v>
      </c>
      <c r="V29" s="51"/>
      <c r="W29" s="49"/>
      <c r="X29" s="51"/>
      <c r="Y29" s="49"/>
      <c r="Z29" s="52" t="str">
        <f>IF($B29="","",IF(AND(OR(#REF!="Đã phát hành",#REF!="Hoàn thiện"),M29="Đã bàn giao"),"✔","✘"))</f>
        <v/>
      </c>
      <c r="AA29" s="52" t="str">
        <f>IF($B29="","",IF(Q29="Đã CU","✔","✘"))</f>
        <v/>
      </c>
      <c r="AB29" s="52" t="str">
        <f>IF($B29="","",IF(Y29="Đã duyệt","✔","✘"))</f>
        <v/>
      </c>
      <c r="AC29" s="52" t="str">
        <f>IF($B29="","",IF(AND(Z29="✔",AA29="✔",AB29="✔"),"ĐỦ ĐK KHỞI CÔNG","THIẾU ĐK"))</f>
        <v/>
      </c>
      <c r="AD29" s="51"/>
      <c r="AE29" s="52" t="str">
        <f>IF($B29="","",COUNTIFS('01_HSo TienKC'!$B:$B,$B29,'01_HSo TienKC'!$J:$J,"Đã duyệt"))</f>
        <v/>
      </c>
      <c r="AF29" s="39"/>
      <c r="AG29" s="39"/>
      <c r="AH29" s="39"/>
      <c r="AI29" s="52" t="str">
        <f>IF($B29="","",COUNTIFS('02_KH Thang_Tuan'!$B:$B,$B29,'02_KH Thang_Tuan'!$J:$J,"Đã duyệt")&amp;"/"&amp;COUNTIFS('02_KH Thang_Tuan'!$B:$B,$B29))</f>
        <v/>
      </c>
      <c r="AJ29" s="52" t="str">
        <f>IF($B29="","",COUNTIFS('03_Phat sinh'!$C:$C,$B29,'03_Phat sinh'!$M:$M,"&lt;&gt;Đã duyệt"))</f>
        <v/>
      </c>
      <c r="AK29" s="52" t="str">
        <f>IF($B29="","",COUNTIFS('04_CU dac thu'!$C:$C,$B29,'04_CU dac thu'!$N:$N,"&lt;&gt;Đã duyệt"))</f>
        <v/>
      </c>
      <c r="AL29" s="52" t="str">
        <f>IF($B29="","",COUNTIFS('05_Bu tien do'!$B:$B,$B29,'05_Bu tien do'!$N:$N,"&lt;&gt;Đã hoàn thành"))</f>
        <v/>
      </c>
      <c r="AM29" s="53"/>
      <c r="AN29" s="53"/>
      <c r="AO29" s="50"/>
      <c r="AP29" s="53"/>
      <c r="AQ29" s="53"/>
      <c r="AR29" s="50"/>
      <c r="AS29" s="53"/>
      <c r="AT29" s="53"/>
      <c r="AU29" s="50"/>
      <c r="AV29" s="53"/>
      <c r="AW29" s="53"/>
      <c r="AX29" s="50"/>
      <c r="AY29" s="53"/>
      <c r="AZ29" s="53"/>
      <c r="BA29" s="50"/>
      <c r="BB29" s="53"/>
      <c r="BC29" s="53"/>
      <c r="BD29" s="50"/>
    </row>
    <row r="30" spans="1:56" ht="30" customHeight="1" x14ac:dyDescent="0.2">
      <c r="A30" s="49" t="s">
        <v>188</v>
      </c>
      <c r="B30" s="49"/>
      <c r="C30" s="49" t="s">
        <v>142</v>
      </c>
      <c r="D30" s="57" t="s">
        <v>185</v>
      </c>
      <c r="E30" s="50" t="s">
        <v>189</v>
      </c>
      <c r="F30" s="49" t="s">
        <v>136</v>
      </c>
      <c r="G30" s="51">
        <v>46192</v>
      </c>
      <c r="H30" s="51">
        <v>46375</v>
      </c>
      <c r="I30" s="54">
        <v>28.17</v>
      </c>
      <c r="J30" s="51">
        <v>46101</v>
      </c>
      <c r="K30" s="49" t="s">
        <v>124</v>
      </c>
      <c r="L30" s="49" t="s">
        <v>125</v>
      </c>
      <c r="M30" s="49" t="s">
        <v>126</v>
      </c>
      <c r="N30" s="51">
        <v>46086</v>
      </c>
      <c r="O30" s="49" t="s">
        <v>187</v>
      </c>
      <c r="P30" s="51">
        <v>46091</v>
      </c>
      <c r="Q30" s="49" t="s">
        <v>128</v>
      </c>
      <c r="R30" s="51">
        <v>46172</v>
      </c>
      <c r="S30" s="49" t="s">
        <v>129</v>
      </c>
      <c r="T30" s="54">
        <v>40</v>
      </c>
      <c r="U30" s="55">
        <f>IF(OR(I30="",T30=""),"",T30/I30)</f>
        <v>1.419950301739439</v>
      </c>
      <c r="V30" s="51"/>
      <c r="W30" s="49"/>
      <c r="X30" s="51"/>
      <c r="Y30" s="49"/>
      <c r="Z30" s="52" t="str">
        <f>IF($B30="","",IF(AND(OR(K29="Đã phát hành",K29="Hoàn thiện"),M30="Đã bàn giao"),"✔","✘"))</f>
        <v/>
      </c>
      <c r="AA30" s="52" t="str">
        <f>IF($B30="","",IF(Q30="Đã CU","✔","✘"))</f>
        <v/>
      </c>
      <c r="AB30" s="52" t="str">
        <f>IF($B30="","",IF(Y30="Đã duyệt","✔","✘"))</f>
        <v/>
      </c>
      <c r="AC30" s="52" t="str">
        <f>IF($B30="","",IF(AND(Z30="✔",AA30="✔",AB30="✔"),"ĐỦ ĐK KHỞI CÔNG","THIẾU ĐK"))</f>
        <v/>
      </c>
      <c r="AD30" s="51"/>
      <c r="AE30" s="52" t="str">
        <f>IF($B30="","",COUNTIFS('01_HSo TienKC'!$B:$B,$B30,'01_HSo TienKC'!$J:$J,"Đã duyệt"))</f>
        <v/>
      </c>
      <c r="AF30" s="39"/>
      <c r="AG30" s="39"/>
      <c r="AH30" s="39"/>
      <c r="AI30" s="52" t="str">
        <f>IF($B30="","",COUNTIFS('02_KH Thang_Tuan'!$B:$B,$B30,'02_KH Thang_Tuan'!$J:$J,"Đã duyệt")&amp;"/"&amp;COUNTIFS('02_KH Thang_Tuan'!$B:$B,$B30))</f>
        <v/>
      </c>
      <c r="AJ30" s="52" t="str">
        <f>IF($B30="","",COUNTIFS('03_Phat sinh'!$C:$C,$B30,'03_Phat sinh'!$M:$M,"&lt;&gt;Đã duyệt"))</f>
        <v/>
      </c>
      <c r="AK30" s="52" t="str">
        <f>IF($B30="","",COUNTIFS('04_CU dac thu'!$C:$C,$B30,'04_CU dac thu'!$N:$N,"&lt;&gt;Đã duyệt"))</f>
        <v/>
      </c>
      <c r="AL30" s="52" t="str">
        <f>IF($B30="","",COUNTIFS('05_Bu tien do'!$B:$B,$B30,'05_Bu tien do'!$N:$N,"&lt;&gt;Đã hoàn thành"))</f>
        <v/>
      </c>
      <c r="AM30" s="53"/>
      <c r="AN30" s="53"/>
      <c r="AO30" s="50"/>
      <c r="AP30" s="53"/>
      <c r="AQ30" s="53"/>
      <c r="AR30" s="50"/>
      <c r="AS30" s="53"/>
      <c r="AT30" s="53"/>
      <c r="AU30" s="50"/>
      <c r="AV30" s="53"/>
      <c r="AW30" s="53"/>
      <c r="AX30" s="50"/>
      <c r="AY30" s="53"/>
      <c r="AZ30" s="53"/>
      <c r="BA30" s="50"/>
      <c r="BB30" s="53"/>
      <c r="BC30" s="53"/>
      <c r="BD30" s="50"/>
    </row>
    <row r="31" spans="1:56" ht="25.5" customHeight="1" x14ac:dyDescent="0.2">
      <c r="A31" s="49" t="s">
        <v>190</v>
      </c>
      <c r="B31" s="49"/>
      <c r="C31" s="49" t="s">
        <v>142</v>
      </c>
      <c r="D31" s="57" t="s">
        <v>185</v>
      </c>
      <c r="E31" s="50" t="s">
        <v>147</v>
      </c>
      <c r="F31" s="49" t="s">
        <v>123</v>
      </c>
      <c r="G31" s="51">
        <v>46247</v>
      </c>
      <c r="H31" s="51">
        <v>46367</v>
      </c>
      <c r="I31" s="54">
        <v>1.87</v>
      </c>
      <c r="J31" s="51">
        <v>46205</v>
      </c>
      <c r="K31" s="49" t="s">
        <v>191</v>
      </c>
      <c r="L31" s="49" t="s">
        <v>192</v>
      </c>
      <c r="M31" s="49" t="s">
        <v>193</v>
      </c>
      <c r="N31" s="51">
        <v>46235</v>
      </c>
      <c r="O31" s="49" t="s">
        <v>194</v>
      </c>
      <c r="P31" s="51">
        <v>46181</v>
      </c>
      <c r="Q31" s="49"/>
      <c r="R31" s="51"/>
      <c r="S31" s="49"/>
      <c r="T31" s="54"/>
      <c r="U31" s="55" t="str">
        <f>IF(OR(I31="",T31=""),"",T31/I31)</f>
        <v/>
      </c>
      <c r="V31" s="51"/>
      <c r="W31" s="49"/>
      <c r="X31" s="51"/>
      <c r="Y31" s="49"/>
      <c r="Z31" s="52" t="str">
        <f>IF($B31="","",IF(AND(OR(K31="Đã phát hành",K31="Hoàn thiện"),M31="Đã bàn giao"),"✔","✘"))</f>
        <v/>
      </c>
      <c r="AA31" s="52" t="str">
        <f>IF($B31="","",IF(Q31="Đã CU","✔","✘"))</f>
        <v/>
      </c>
      <c r="AB31" s="52" t="str">
        <f>IF($B31="","",IF(Y31="Đã duyệt","✔","✘"))</f>
        <v/>
      </c>
      <c r="AC31" s="52" t="str">
        <f>IF($B31="","",IF(AND(Z31="✔",AA31="✔",AB31="✔"),"ĐỦ ĐK KHỞI CÔNG","THIẾU ĐK"))</f>
        <v/>
      </c>
      <c r="AD31" s="51"/>
      <c r="AE31" s="52" t="str">
        <f>IF($B31="","",COUNTIFS('01_HSo TienKC'!$B:$B,$B31,'01_HSo TienKC'!$J:$J,"Đã duyệt"))</f>
        <v/>
      </c>
      <c r="AF31" s="39"/>
      <c r="AG31" s="39"/>
      <c r="AH31" s="39"/>
      <c r="AI31" s="52" t="str">
        <f>IF($B31="","",COUNTIFS('02_KH Thang_Tuan'!$B:$B,$B31,'02_KH Thang_Tuan'!$J:$J,"Đã duyệt")&amp;"/"&amp;COUNTIFS('02_KH Thang_Tuan'!$B:$B,$B31))</f>
        <v/>
      </c>
      <c r="AJ31" s="52" t="str">
        <f>IF($B31="","",COUNTIFS('03_Phat sinh'!$C:$C,$B31,'03_Phat sinh'!$M:$M,"&lt;&gt;Đã duyệt"))</f>
        <v/>
      </c>
      <c r="AK31" s="52" t="str">
        <f>IF($B31="","",COUNTIFS('04_CU dac thu'!$C:$C,$B31,'04_CU dac thu'!$N:$N,"&lt;&gt;Đã duyệt"))</f>
        <v/>
      </c>
      <c r="AL31" s="52" t="str">
        <f>IF($B31="","",COUNTIFS('05_Bu tien do'!$B:$B,$B31,'05_Bu tien do'!$N:$N,"&lt;&gt;Đã hoàn thành"))</f>
        <v/>
      </c>
      <c r="AM31" s="53"/>
      <c r="AN31" s="53"/>
      <c r="AO31" s="50"/>
      <c r="AP31" s="53"/>
      <c r="AQ31" s="53"/>
      <c r="AR31" s="50"/>
      <c r="AS31" s="53"/>
      <c r="AT31" s="53"/>
      <c r="AU31" s="50"/>
      <c r="AV31" s="53"/>
      <c r="AW31" s="53"/>
      <c r="AX31" s="50"/>
      <c r="AY31" s="53"/>
      <c r="AZ31" s="53"/>
      <c r="BA31" s="50"/>
      <c r="BB31" s="53"/>
      <c r="BC31" s="53"/>
      <c r="BD31" s="50"/>
    </row>
    <row r="32" spans="1:56" ht="25.5" customHeight="1" x14ac:dyDescent="0.2">
      <c r="A32" s="49" t="s">
        <v>195</v>
      </c>
      <c r="B32" s="49"/>
      <c r="C32" s="49" t="s">
        <v>142</v>
      </c>
      <c r="D32" s="57" t="s">
        <v>185</v>
      </c>
      <c r="E32" s="50" t="s">
        <v>196</v>
      </c>
      <c r="F32" s="49" t="s">
        <v>123</v>
      </c>
      <c r="G32" s="51">
        <v>46247</v>
      </c>
      <c r="H32" s="51">
        <v>46367</v>
      </c>
      <c r="I32" s="54">
        <v>1.37</v>
      </c>
      <c r="J32" s="51">
        <v>46205</v>
      </c>
      <c r="K32" s="49" t="s">
        <v>191</v>
      </c>
      <c r="L32" s="49" t="s">
        <v>192</v>
      </c>
      <c r="M32" s="49" t="s">
        <v>193</v>
      </c>
      <c r="N32" s="51">
        <v>46235</v>
      </c>
      <c r="O32" s="49" t="s">
        <v>194</v>
      </c>
      <c r="P32" s="51">
        <v>46181</v>
      </c>
      <c r="Q32" s="49"/>
      <c r="R32" s="51"/>
      <c r="S32" s="49"/>
      <c r="T32" s="54"/>
      <c r="U32" s="55" t="str">
        <f>IF(OR(I32="",T32=""),"",T32/I32)</f>
        <v/>
      </c>
      <c r="V32" s="51"/>
      <c r="W32" s="49"/>
      <c r="X32" s="51"/>
      <c r="Y32" s="49"/>
      <c r="Z32" s="52" t="str">
        <f>IF($B32="","",IF(AND(OR(K32="Đã phát hành",K32="Hoàn thiện"),M32="Đã bàn giao"),"✔","✘"))</f>
        <v/>
      </c>
      <c r="AA32" s="52" t="str">
        <f>IF($B32="","",IF(Q32="Đã CU","✔","✘"))</f>
        <v/>
      </c>
      <c r="AB32" s="52" t="str">
        <f>IF($B32="","",IF(Y32="Đã duyệt","✔","✘"))</f>
        <v/>
      </c>
      <c r="AC32" s="52" t="str">
        <f>IF($B32="","",IF(AND(Z32="✔",AA32="✔",AB32="✔"),"ĐỦ ĐK KHỞI CÔNG","THIẾU ĐK"))</f>
        <v/>
      </c>
      <c r="AD32" s="51"/>
      <c r="AE32" s="52" t="str">
        <f>IF($B32="","",COUNTIFS('01_HSo TienKC'!$B:$B,$B32,'01_HSo TienKC'!$J:$J,"Đã duyệt"))</f>
        <v/>
      </c>
      <c r="AF32" s="39"/>
      <c r="AG32" s="39"/>
      <c r="AH32" s="39"/>
      <c r="AI32" s="52" t="str">
        <f>IF($B32="","",COUNTIFS('02_KH Thang_Tuan'!$B:$B,$B32,'02_KH Thang_Tuan'!$J:$J,"Đã duyệt")&amp;"/"&amp;COUNTIFS('02_KH Thang_Tuan'!$B:$B,$B32))</f>
        <v/>
      </c>
      <c r="AJ32" s="52" t="str">
        <f>IF($B32="","",COUNTIFS('03_Phat sinh'!$C:$C,$B32,'03_Phat sinh'!$M:$M,"&lt;&gt;Đã duyệt"))</f>
        <v/>
      </c>
      <c r="AK32" s="52" t="str">
        <f>IF($B32="","",COUNTIFS('04_CU dac thu'!$C:$C,$B32,'04_CU dac thu'!$N:$N,"&lt;&gt;Đã duyệt"))</f>
        <v/>
      </c>
      <c r="AL32" s="52" t="str">
        <f>IF($B32="","",COUNTIFS('05_Bu tien do'!$B:$B,$B32,'05_Bu tien do'!$N:$N,"&lt;&gt;Đã hoàn thành"))</f>
        <v/>
      </c>
      <c r="AM32" s="53"/>
      <c r="AN32" s="53"/>
      <c r="AO32" s="50"/>
      <c r="AP32" s="53"/>
      <c r="AQ32" s="53"/>
      <c r="AR32" s="50"/>
      <c r="AS32" s="53"/>
      <c r="AT32" s="53"/>
      <c r="AU32" s="50"/>
      <c r="AV32" s="53"/>
      <c r="AW32" s="53"/>
      <c r="AX32" s="50"/>
      <c r="AY32" s="53"/>
      <c r="AZ32" s="53"/>
      <c r="BA32" s="50"/>
      <c r="BB32" s="53"/>
      <c r="BC32" s="53"/>
      <c r="BD32" s="50"/>
    </row>
    <row r="33" spans="1:56" ht="25.5" customHeight="1" x14ac:dyDescent="0.2">
      <c r="A33" s="49" t="s">
        <v>197</v>
      </c>
      <c r="B33" s="49"/>
      <c r="C33" s="49" t="s">
        <v>142</v>
      </c>
      <c r="D33" s="57" t="s">
        <v>185</v>
      </c>
      <c r="E33" s="50" t="s">
        <v>198</v>
      </c>
      <c r="F33" s="49" t="str">
        <f>+F30</f>
        <v>HĐLCNT / Tổng thầu</v>
      </c>
      <c r="G33" s="51">
        <v>46247</v>
      </c>
      <c r="H33" s="51">
        <v>46367</v>
      </c>
      <c r="I33" s="54">
        <v>6.93</v>
      </c>
      <c r="J33" s="51">
        <v>46205</v>
      </c>
      <c r="K33" s="49" t="s">
        <v>191</v>
      </c>
      <c r="L33" s="49" t="s">
        <v>192</v>
      </c>
      <c r="M33" s="49" t="s">
        <v>193</v>
      </c>
      <c r="N33" s="51">
        <v>46235</v>
      </c>
      <c r="O33" s="49" t="s">
        <v>194</v>
      </c>
      <c r="P33" s="51">
        <v>46181</v>
      </c>
      <c r="Q33" s="49"/>
      <c r="R33" s="51"/>
      <c r="S33" s="49"/>
      <c r="T33" s="54"/>
      <c r="U33" s="55"/>
      <c r="V33" s="51"/>
      <c r="W33" s="49"/>
      <c r="X33" s="51"/>
      <c r="Y33" s="49"/>
      <c r="Z33" s="52"/>
      <c r="AA33" s="52"/>
      <c r="AB33" s="52"/>
      <c r="AC33" s="52"/>
      <c r="AD33" s="51"/>
      <c r="AE33" s="52"/>
      <c r="AF33" s="39"/>
      <c r="AG33" s="39"/>
      <c r="AH33" s="39"/>
      <c r="AI33" s="52"/>
      <c r="AJ33" s="52"/>
      <c r="AK33" s="52"/>
      <c r="AL33" s="52"/>
      <c r="AM33" s="53"/>
      <c r="AN33" s="53"/>
      <c r="AO33" s="50"/>
      <c r="AP33" s="53"/>
      <c r="AQ33" s="53"/>
      <c r="AR33" s="50"/>
      <c r="AS33" s="53"/>
      <c r="AT33" s="53"/>
      <c r="AU33" s="50"/>
      <c r="AV33" s="53"/>
      <c r="AW33" s="53"/>
      <c r="AX33" s="50"/>
      <c r="AY33" s="53"/>
      <c r="AZ33" s="53"/>
      <c r="BA33" s="50"/>
      <c r="BB33" s="53"/>
      <c r="BC33" s="53"/>
      <c r="BD33" s="50"/>
    </row>
    <row r="34" spans="1:56" ht="25.5" customHeight="1" x14ac:dyDescent="0.2">
      <c r="A34" s="49" t="s">
        <v>199</v>
      </c>
      <c r="B34" s="49"/>
      <c r="C34" s="49" t="s">
        <v>142</v>
      </c>
      <c r="D34" s="57" t="s">
        <v>185</v>
      </c>
      <c r="E34" s="50" t="s">
        <v>200</v>
      </c>
      <c r="F34" s="49" t="s">
        <v>123</v>
      </c>
      <c r="G34" s="51">
        <v>46296</v>
      </c>
      <c r="H34" s="51">
        <v>46367</v>
      </c>
      <c r="I34" s="54">
        <v>0.75</v>
      </c>
      <c r="J34" s="51">
        <v>46205</v>
      </c>
      <c r="K34" s="49" t="s">
        <v>191</v>
      </c>
      <c r="L34" s="49" t="s">
        <v>192</v>
      </c>
      <c r="M34" s="49" t="s">
        <v>193</v>
      </c>
      <c r="N34" s="51">
        <v>46285</v>
      </c>
      <c r="O34" s="49" t="s">
        <v>194</v>
      </c>
      <c r="P34" s="51">
        <v>46293</v>
      </c>
      <c r="Q34" s="49"/>
      <c r="R34" s="51"/>
      <c r="S34" s="49"/>
      <c r="T34" s="54"/>
      <c r="U34" s="55"/>
      <c r="V34" s="51"/>
      <c r="W34" s="49"/>
      <c r="X34" s="51"/>
      <c r="Y34" s="49"/>
      <c r="Z34" s="52"/>
      <c r="AA34" s="52"/>
      <c r="AB34" s="52"/>
      <c r="AC34" s="52"/>
      <c r="AD34" s="51"/>
      <c r="AE34" s="52"/>
      <c r="AF34" s="39"/>
      <c r="AG34" s="39"/>
      <c r="AH34" s="39"/>
      <c r="AI34" s="52"/>
      <c r="AJ34" s="52"/>
      <c r="AK34" s="52"/>
      <c r="AL34" s="52"/>
      <c r="AM34" s="53"/>
      <c r="AN34" s="53"/>
      <c r="AO34" s="50"/>
      <c r="AP34" s="53"/>
      <c r="AQ34" s="53"/>
      <c r="AR34" s="50"/>
      <c r="AS34" s="53"/>
      <c r="AT34" s="53"/>
      <c r="AU34" s="50"/>
      <c r="AV34" s="53"/>
      <c r="AW34" s="53"/>
      <c r="AX34" s="50"/>
      <c r="AY34" s="53"/>
      <c r="AZ34" s="53"/>
      <c r="BA34" s="50"/>
      <c r="BB34" s="53"/>
      <c r="BC34" s="53"/>
      <c r="BD34" s="50"/>
    </row>
    <row r="35" spans="1:56" ht="25.5" customHeight="1" x14ac:dyDescent="0.2">
      <c r="A35" s="49" t="s">
        <v>201</v>
      </c>
      <c r="B35" s="49"/>
      <c r="C35" s="49" t="s">
        <v>142</v>
      </c>
      <c r="D35" s="57" t="s">
        <v>185</v>
      </c>
      <c r="E35" s="50" t="s">
        <v>181</v>
      </c>
      <c r="F35" s="49" t="s">
        <v>123</v>
      </c>
      <c r="G35" s="51">
        <v>46266</v>
      </c>
      <c r="H35" s="51">
        <v>46325</v>
      </c>
      <c r="I35" s="54">
        <v>0.88</v>
      </c>
      <c r="J35" s="51">
        <v>46205</v>
      </c>
      <c r="K35" s="49" t="s">
        <v>191</v>
      </c>
      <c r="L35" s="49" t="s">
        <v>192</v>
      </c>
      <c r="M35" s="49" t="s">
        <v>193</v>
      </c>
      <c r="N35" s="51">
        <v>46254</v>
      </c>
      <c r="O35" s="49" t="s">
        <v>194</v>
      </c>
      <c r="P35" s="51">
        <v>46262</v>
      </c>
      <c r="Q35" s="49"/>
      <c r="R35" s="51"/>
      <c r="S35" s="49"/>
      <c r="T35" s="54"/>
      <c r="U35" s="55"/>
      <c r="V35" s="51"/>
      <c r="W35" s="49"/>
      <c r="X35" s="51"/>
      <c r="Y35" s="49"/>
      <c r="Z35" s="52"/>
      <c r="AA35" s="52"/>
      <c r="AB35" s="52"/>
      <c r="AC35" s="52"/>
      <c r="AD35" s="51"/>
      <c r="AE35" s="52"/>
      <c r="AF35" s="39"/>
      <c r="AG35" s="39"/>
      <c r="AH35" s="39"/>
      <c r="AI35" s="52"/>
      <c r="AJ35" s="52"/>
      <c r="AK35" s="52"/>
      <c r="AL35" s="52"/>
      <c r="AM35" s="53"/>
      <c r="AN35" s="53"/>
      <c r="AO35" s="50"/>
      <c r="AP35" s="53"/>
      <c r="AQ35" s="53"/>
      <c r="AR35" s="50"/>
      <c r="AS35" s="53"/>
      <c r="AT35" s="53"/>
      <c r="AU35" s="50"/>
      <c r="AV35" s="53"/>
      <c r="AW35" s="53"/>
      <c r="AX35" s="50"/>
      <c r="AY35" s="53"/>
      <c r="AZ35" s="53"/>
      <c r="BA35" s="50"/>
      <c r="BB35" s="53"/>
      <c r="BC35" s="53"/>
      <c r="BD35" s="50"/>
    </row>
    <row r="36" spans="1:56" ht="25.5" customHeight="1" x14ac:dyDescent="0.2">
      <c r="A36" s="49" t="s">
        <v>202</v>
      </c>
      <c r="B36" s="49"/>
      <c r="C36" s="49" t="s">
        <v>142</v>
      </c>
      <c r="D36" s="57" t="s">
        <v>185</v>
      </c>
      <c r="E36" s="50" t="s">
        <v>157</v>
      </c>
      <c r="F36" s="49" t="s">
        <v>123</v>
      </c>
      <c r="G36" s="51">
        <v>46327</v>
      </c>
      <c r="H36" s="51">
        <v>46356</v>
      </c>
      <c r="I36" s="54">
        <v>1.61</v>
      </c>
      <c r="J36" s="51">
        <v>46205</v>
      </c>
      <c r="K36" s="49" t="s">
        <v>191</v>
      </c>
      <c r="L36" s="49" t="s">
        <v>192</v>
      </c>
      <c r="M36" s="49" t="s">
        <v>193</v>
      </c>
      <c r="N36" s="51">
        <v>46315</v>
      </c>
      <c r="O36" s="49" t="s">
        <v>194</v>
      </c>
      <c r="P36" s="51">
        <v>46323</v>
      </c>
      <c r="Q36" s="49"/>
      <c r="R36" s="51"/>
      <c r="S36" s="49"/>
      <c r="T36" s="54"/>
      <c r="U36" s="55"/>
      <c r="V36" s="51"/>
      <c r="W36" s="49"/>
      <c r="X36" s="51"/>
      <c r="Y36" s="49"/>
      <c r="Z36" s="52"/>
      <c r="AA36" s="52"/>
      <c r="AB36" s="52"/>
      <c r="AC36" s="52"/>
      <c r="AD36" s="51"/>
      <c r="AE36" s="52"/>
      <c r="AF36" s="39"/>
      <c r="AG36" s="39"/>
      <c r="AH36" s="39"/>
      <c r="AI36" s="52"/>
      <c r="AJ36" s="52"/>
      <c r="AK36" s="52"/>
      <c r="AL36" s="52"/>
      <c r="AM36" s="53"/>
      <c r="AN36" s="53"/>
      <c r="AO36" s="50"/>
      <c r="AP36" s="53"/>
      <c r="AQ36" s="53"/>
      <c r="AR36" s="50"/>
      <c r="AS36" s="53"/>
      <c r="AT36" s="53"/>
      <c r="AU36" s="50"/>
      <c r="AV36" s="53"/>
      <c r="AW36" s="53"/>
      <c r="AX36" s="50"/>
      <c r="AY36" s="53"/>
      <c r="AZ36" s="53"/>
      <c r="BA36" s="50"/>
      <c r="BB36" s="53"/>
      <c r="BC36" s="53"/>
      <c r="BD36" s="50"/>
    </row>
    <row r="37" spans="1:56" ht="25.5" customHeight="1" x14ac:dyDescent="0.2">
      <c r="A37" s="49" t="s">
        <v>203</v>
      </c>
      <c r="B37" s="49"/>
      <c r="C37" s="49" t="s">
        <v>142</v>
      </c>
      <c r="D37" s="57" t="s">
        <v>185</v>
      </c>
      <c r="E37" s="50" t="s">
        <v>204</v>
      </c>
      <c r="F37" s="49" t="str">
        <f>+F33</f>
        <v>HĐLCNT / Tổng thầu</v>
      </c>
      <c r="G37" s="51">
        <v>46341</v>
      </c>
      <c r="H37" s="51">
        <v>46386</v>
      </c>
      <c r="I37" s="54">
        <v>2.11</v>
      </c>
      <c r="J37" s="51">
        <v>46205</v>
      </c>
      <c r="K37" s="49" t="s">
        <v>191</v>
      </c>
      <c r="L37" s="49" t="s">
        <v>192</v>
      </c>
      <c r="M37" s="49" t="s">
        <v>193</v>
      </c>
      <c r="N37" s="51">
        <v>46315</v>
      </c>
      <c r="O37" s="49" t="s">
        <v>194</v>
      </c>
      <c r="P37" s="51">
        <v>46323</v>
      </c>
      <c r="Q37" s="49"/>
      <c r="R37" s="51"/>
      <c r="S37" s="49"/>
      <c r="T37" s="54"/>
      <c r="U37" s="55"/>
      <c r="V37" s="51"/>
      <c r="W37" s="49"/>
      <c r="X37" s="51"/>
      <c r="Y37" s="49"/>
      <c r="Z37" s="52"/>
      <c r="AA37" s="52"/>
      <c r="AB37" s="52"/>
      <c r="AC37" s="52"/>
      <c r="AD37" s="51"/>
      <c r="AE37" s="52"/>
      <c r="AF37" s="39"/>
      <c r="AG37" s="39"/>
      <c r="AH37" s="39"/>
      <c r="AI37" s="52"/>
      <c r="AJ37" s="52"/>
      <c r="AK37" s="52"/>
      <c r="AL37" s="52"/>
      <c r="AM37" s="53"/>
      <c r="AN37" s="53"/>
      <c r="AO37" s="50"/>
      <c r="AP37" s="53"/>
      <c r="AQ37" s="53"/>
      <c r="AR37" s="50"/>
      <c r="AS37" s="53"/>
      <c r="AT37" s="53"/>
      <c r="AU37" s="50"/>
      <c r="AV37" s="53"/>
      <c r="AW37" s="53"/>
      <c r="AX37" s="50"/>
      <c r="AY37" s="53"/>
      <c r="AZ37" s="53"/>
      <c r="BA37" s="50"/>
      <c r="BB37" s="53"/>
      <c r="BC37" s="53"/>
      <c r="BD37" s="50"/>
    </row>
    <row r="38" spans="1:56" ht="25.5" customHeight="1" x14ac:dyDescent="0.2">
      <c r="A38" s="56">
        <v>4</v>
      </c>
      <c r="B38" s="56">
        <v>34</v>
      </c>
      <c r="C38" s="56" t="s">
        <v>205</v>
      </c>
      <c r="D38" s="56" t="s">
        <v>134</v>
      </c>
      <c r="E38" s="57" t="s">
        <v>206</v>
      </c>
      <c r="F38" s="56"/>
      <c r="G38" s="62">
        <v>46139</v>
      </c>
      <c r="H38" s="62">
        <v>46387</v>
      </c>
      <c r="I38" s="58"/>
      <c r="J38" s="62"/>
      <c r="K38" s="56"/>
      <c r="L38" s="56"/>
      <c r="M38" s="56"/>
      <c r="N38" s="62"/>
      <c r="O38" s="56"/>
      <c r="P38" s="62"/>
      <c r="Q38" s="56"/>
      <c r="R38" s="62"/>
      <c r="S38" s="56"/>
      <c r="T38" s="58"/>
      <c r="U38" s="58" t="str">
        <f>IF(OR(I38="",T38=""),"",T38/I38)</f>
        <v/>
      </c>
      <c r="V38" s="62"/>
      <c r="W38" s="56"/>
      <c r="X38" s="62"/>
      <c r="Y38" s="56"/>
      <c r="Z38" s="56" t="str">
        <f>IF($B38="","",IF(AND(OR(K38="Đã phát hành",K38="Hoàn thiện"),M38="Đã bàn giao"),"✔","✘"))</f>
        <v>✘</v>
      </c>
      <c r="AA38" s="56" t="str">
        <f>IF($B38="","",IF(Q38="Đã CU","✔","✘"))</f>
        <v>✘</v>
      </c>
      <c r="AB38" s="56" t="str">
        <f>IF($B38="","",IF(Y38="Đã duyệt","✔","✘"))</f>
        <v>✘</v>
      </c>
      <c r="AC38" s="56" t="str">
        <f>IF($B38="","",IF(AND(Z38="✔",AA38="✔",AB38="✔"),"ĐỦ ĐK KHỞI CÔNG","THIẾU ĐK"))</f>
        <v>THIẾU ĐK</v>
      </c>
      <c r="AD38" s="62">
        <v>46174</v>
      </c>
      <c r="AE38" s="56">
        <f>IF($B38="","",COUNTIFS('01_HSo TienKC'!$B:$B,$B38,'01_HSo TienKC'!$J:$J,"Đã duyệt"))</f>
        <v>0</v>
      </c>
      <c r="AF38" s="59"/>
      <c r="AG38" s="59"/>
      <c r="AH38" s="59"/>
      <c r="AI38" s="56" t="str">
        <f>IF($B38="","",COUNTIFS('02_KH Thang_Tuan'!$B:$B,$B38,'02_KH Thang_Tuan'!$J:$J,"Đã duyệt")&amp;"/"&amp;COUNTIFS('02_KH Thang_Tuan'!$B:$B,$B38))</f>
        <v>0/0</v>
      </c>
      <c r="AJ38" s="56">
        <f>IF($B38="","",COUNTIFS('03_Phat sinh'!$C:$C,$B38,'03_Phat sinh'!$M:$M,"&lt;&gt;Đã duyệt"))</f>
        <v>0</v>
      </c>
      <c r="AK38" s="56">
        <f>IF($B38="","",COUNTIFS('04_CU dac thu'!$C:$C,$B38,'04_CU dac thu'!$N:$N,"&lt;&gt;Đã duyệt"))</f>
        <v>0</v>
      </c>
      <c r="AL38" s="56">
        <f>IF($B38="","",COUNTIFS('05_Bu tien do'!$B:$B,$B38,'05_Bu tien do'!$N:$N,"&lt;&gt;Đã hoàn thành"))</f>
        <v>0</v>
      </c>
      <c r="AM38" s="60">
        <v>0.25</v>
      </c>
      <c r="AN38" s="60">
        <v>0.22</v>
      </c>
      <c r="AO38" s="57" t="s">
        <v>137</v>
      </c>
      <c r="AP38" s="60">
        <v>0.25</v>
      </c>
      <c r="AQ38" s="60">
        <v>0.22</v>
      </c>
      <c r="AR38" s="57" t="s">
        <v>137</v>
      </c>
      <c r="AS38" s="60">
        <v>0.06</v>
      </c>
      <c r="AT38" s="60">
        <v>0.06</v>
      </c>
      <c r="AU38" s="57"/>
      <c r="AV38" s="60">
        <v>0.12</v>
      </c>
      <c r="AW38" s="60">
        <v>0.11</v>
      </c>
      <c r="AX38" s="57" t="s">
        <v>138</v>
      </c>
      <c r="AY38" s="60">
        <v>0.19</v>
      </c>
      <c r="AZ38" s="60">
        <v>0.16</v>
      </c>
      <c r="BA38" s="57" t="s">
        <v>139</v>
      </c>
      <c r="BB38" s="60">
        <v>0.25</v>
      </c>
      <c r="BC38" s="60">
        <v>0.22</v>
      </c>
      <c r="BD38" s="57" t="s">
        <v>140</v>
      </c>
    </row>
    <row r="39" spans="1:56" ht="25.5" customHeight="1" x14ac:dyDescent="0.2">
      <c r="A39" s="49" t="s">
        <v>207</v>
      </c>
      <c r="B39" s="49"/>
      <c r="C39" s="49" t="s">
        <v>142</v>
      </c>
      <c r="D39" s="57" t="s">
        <v>206</v>
      </c>
      <c r="E39" s="50" t="s">
        <v>143</v>
      </c>
      <c r="F39" s="49" t="s">
        <v>123</v>
      </c>
      <c r="G39" s="51">
        <v>46139</v>
      </c>
      <c r="H39" s="51">
        <v>46179</v>
      </c>
      <c r="I39" s="54">
        <v>38.799999999999997</v>
      </c>
      <c r="J39" s="51">
        <v>46101</v>
      </c>
      <c r="K39" s="49" t="s">
        <v>124</v>
      </c>
      <c r="L39" s="49" t="s">
        <v>125</v>
      </c>
      <c r="M39" s="49" t="s">
        <v>126</v>
      </c>
      <c r="N39" s="51">
        <v>46132</v>
      </c>
      <c r="O39" s="49" t="s">
        <v>187</v>
      </c>
      <c r="P39" s="51">
        <v>46136</v>
      </c>
      <c r="Q39" s="49" t="s">
        <v>128</v>
      </c>
      <c r="R39" s="51">
        <v>46136</v>
      </c>
      <c r="S39" s="49" t="s">
        <v>129</v>
      </c>
      <c r="T39" s="54">
        <f>3.9+0.53+8.9+1.66</f>
        <v>14.99</v>
      </c>
      <c r="U39" s="55">
        <f>IF(OR(I39="",T39=""),"",T39/I39)</f>
        <v>0.38634020618556703</v>
      </c>
      <c r="V39" s="51"/>
      <c r="W39" s="49"/>
      <c r="X39" s="51"/>
      <c r="Y39" s="49"/>
      <c r="Z39" s="52" t="str">
        <f>IF($B39="","",IF(AND(OR(#REF!="Đã phát hành",#REF!="Hoàn thiện"),M39="Đã bàn giao"),"✔","✘"))</f>
        <v/>
      </c>
      <c r="AA39" s="52" t="str">
        <f>IF($B39="","",IF(Q39="Đã CU","✔","✘"))</f>
        <v/>
      </c>
      <c r="AB39" s="52" t="str">
        <f>IF($B39="","",IF(Y39="Đã duyệt","✔","✘"))</f>
        <v/>
      </c>
      <c r="AC39" s="52" t="str">
        <f>IF($B39="","",IF(AND(Z39="✔",AA39="✔",AB39="✔"),"ĐỦ ĐK KHỞI CÔNG","THIẾU ĐK"))</f>
        <v/>
      </c>
      <c r="AD39" s="51"/>
      <c r="AE39" s="52" t="str">
        <f>IF($B39="","",COUNTIFS('01_HSo TienKC'!$B:$B,$B39,'01_HSo TienKC'!$J:$J,"Đã duyệt"))</f>
        <v/>
      </c>
      <c r="AF39" s="39"/>
      <c r="AG39" s="39"/>
      <c r="AH39" s="39"/>
      <c r="AI39" s="52" t="str">
        <f>IF($B39="","",COUNTIFS('02_KH Thang_Tuan'!$B:$B,$B39,'02_KH Thang_Tuan'!$J:$J,"Đã duyệt")&amp;"/"&amp;COUNTIFS('02_KH Thang_Tuan'!$B:$B,$B39))</f>
        <v/>
      </c>
      <c r="AJ39" s="52" t="str">
        <f>IF($B39="","",COUNTIFS('03_Phat sinh'!$C:$C,$B39,'03_Phat sinh'!$M:$M,"&lt;&gt;Đã duyệt"))</f>
        <v/>
      </c>
      <c r="AK39" s="52" t="str">
        <f>IF($B39="","",COUNTIFS('04_CU dac thu'!$C:$C,$B39,'04_CU dac thu'!$N:$N,"&lt;&gt;Đã duyệt"))</f>
        <v/>
      </c>
      <c r="AL39" s="52" t="str">
        <f>IF($B39="","",COUNTIFS('05_Bu tien do'!$B:$B,$B39,'05_Bu tien do'!$N:$N,"&lt;&gt;Đã hoàn thành"))</f>
        <v/>
      </c>
      <c r="AM39" s="53"/>
      <c r="AN39" s="53"/>
      <c r="AO39" s="50"/>
      <c r="AP39" s="53"/>
      <c r="AQ39" s="53"/>
      <c r="AR39" s="50"/>
      <c r="AS39" s="53"/>
      <c r="AT39" s="53"/>
      <c r="AU39" s="50"/>
      <c r="AV39" s="53"/>
      <c r="AW39" s="53"/>
      <c r="AX39" s="50"/>
      <c r="AY39" s="53"/>
      <c r="AZ39" s="53"/>
      <c r="BA39" s="50"/>
      <c r="BB39" s="53"/>
      <c r="BC39" s="53"/>
      <c r="BD39" s="50"/>
    </row>
    <row r="40" spans="1:56" ht="25.5" customHeight="1" x14ac:dyDescent="0.2">
      <c r="A40" s="49" t="s">
        <v>208</v>
      </c>
      <c r="B40" s="49"/>
      <c r="C40" s="49" t="s">
        <v>142</v>
      </c>
      <c r="D40" s="57" t="s">
        <v>206</v>
      </c>
      <c r="E40" s="50" t="s">
        <v>189</v>
      </c>
      <c r="F40" s="49" t="s">
        <v>136</v>
      </c>
      <c r="G40" s="75">
        <v>46179</v>
      </c>
      <c r="H40" s="51">
        <v>46296</v>
      </c>
      <c r="I40" s="54">
        <v>92</v>
      </c>
      <c r="J40" s="51"/>
      <c r="K40" s="49" t="s">
        <v>124</v>
      </c>
      <c r="L40" s="49" t="s">
        <v>125</v>
      </c>
      <c r="M40" s="49" t="s">
        <v>126</v>
      </c>
      <c r="N40" s="51">
        <v>46174</v>
      </c>
      <c r="O40" s="49" t="s">
        <v>174</v>
      </c>
      <c r="P40" s="51">
        <v>46179</v>
      </c>
      <c r="Q40" s="49" t="s">
        <v>175</v>
      </c>
      <c r="R40" s="51"/>
      <c r="S40" s="49"/>
      <c r="T40" s="54"/>
      <c r="U40" s="55" t="str">
        <f>IF(OR(I40="",T40=""),"",T40/I40)</f>
        <v/>
      </c>
      <c r="V40" s="51"/>
      <c r="W40" s="49"/>
      <c r="X40" s="51"/>
      <c r="Y40" s="49"/>
      <c r="Z40" s="52" t="str">
        <f>IF($B40="","",IF(AND(OR(K39="Đã phát hành",K39="Hoàn thiện"),M40="Đã bàn giao"),"✔","✘"))</f>
        <v/>
      </c>
      <c r="AA40" s="52" t="str">
        <f>IF($B40="","",IF(Q40="Đã CU","✔","✘"))</f>
        <v/>
      </c>
      <c r="AB40" s="52" t="str">
        <f>IF($B40="","",IF(Y40="Đã duyệt","✔","✘"))</f>
        <v/>
      </c>
      <c r="AC40" s="52" t="str">
        <f>IF($B40="","",IF(AND(Z40="✔",AA40="✔",AB40="✔"),"ĐỦ ĐK KHỞI CÔNG","THIẾU ĐK"))</f>
        <v/>
      </c>
      <c r="AD40" s="51"/>
      <c r="AE40" s="52" t="str">
        <f>IF($B40="","",COUNTIFS('01_HSo TienKC'!$B:$B,$B40,'01_HSo TienKC'!$J:$J,"Đã duyệt"))</f>
        <v/>
      </c>
      <c r="AF40" s="39"/>
      <c r="AG40" s="39"/>
      <c r="AH40" s="39"/>
      <c r="AI40" s="52" t="str">
        <f>IF($B40="","",COUNTIFS('02_KH Thang_Tuan'!$B:$B,$B40,'02_KH Thang_Tuan'!$J:$J,"Đã duyệt")&amp;"/"&amp;COUNTIFS('02_KH Thang_Tuan'!$B:$B,$B40))</f>
        <v/>
      </c>
      <c r="AJ40" s="52" t="str">
        <f>IF($B40="","",COUNTIFS('03_Phat sinh'!$C:$C,$B40,'03_Phat sinh'!$M:$M,"&lt;&gt;Đã duyệt"))</f>
        <v/>
      </c>
      <c r="AK40" s="52" t="str">
        <f>IF($B40="","",COUNTIFS('04_CU dac thu'!$C:$C,$B40,'04_CU dac thu'!$N:$N,"&lt;&gt;Đã duyệt"))</f>
        <v/>
      </c>
      <c r="AL40" s="52" t="str">
        <f>IF($B40="","",COUNTIFS('05_Bu tien do'!$B:$B,$B40,'05_Bu tien do'!$N:$N,"&lt;&gt;Đã hoàn thành"))</f>
        <v/>
      </c>
      <c r="AM40" s="53"/>
      <c r="AN40" s="53"/>
      <c r="AO40" s="50"/>
      <c r="AP40" s="53"/>
      <c r="AQ40" s="53"/>
      <c r="AR40" s="50"/>
      <c r="AS40" s="53"/>
      <c r="AT40" s="53"/>
      <c r="AU40" s="50"/>
      <c r="AV40" s="53"/>
      <c r="AW40" s="53"/>
      <c r="AX40" s="50"/>
      <c r="AY40" s="53"/>
      <c r="AZ40" s="53"/>
      <c r="BA40" s="50"/>
      <c r="BB40" s="53"/>
      <c r="BC40" s="53"/>
      <c r="BD40" s="50"/>
    </row>
    <row r="41" spans="1:56" ht="25.5" customHeight="1" x14ac:dyDescent="0.2">
      <c r="A41" s="49" t="s">
        <v>209</v>
      </c>
      <c r="B41" s="49"/>
      <c r="C41" s="49" t="s">
        <v>142</v>
      </c>
      <c r="D41" s="57" t="s">
        <v>206</v>
      </c>
      <c r="E41" s="50" t="s">
        <v>147</v>
      </c>
      <c r="F41" s="49" t="s">
        <v>123</v>
      </c>
      <c r="G41" s="51">
        <v>46266</v>
      </c>
      <c r="H41" s="51">
        <v>46356</v>
      </c>
      <c r="I41" s="54">
        <v>4.0999999999999996</v>
      </c>
      <c r="J41" s="51"/>
      <c r="K41" s="49" t="s">
        <v>191</v>
      </c>
      <c r="L41" s="49" t="s">
        <v>192</v>
      </c>
      <c r="M41" s="49" t="s">
        <v>193</v>
      </c>
      <c r="N41" s="51">
        <v>46254</v>
      </c>
      <c r="O41" s="49" t="s">
        <v>194</v>
      </c>
      <c r="P41" s="51">
        <v>46266</v>
      </c>
      <c r="Q41" s="49"/>
      <c r="R41" s="51"/>
      <c r="S41" s="49"/>
      <c r="T41" s="54"/>
      <c r="U41" s="55" t="str">
        <f>IF(OR(I41="",T41=""),"",T41/I41)</f>
        <v/>
      </c>
      <c r="V41" s="51"/>
      <c r="W41" s="49"/>
      <c r="X41" s="51"/>
      <c r="Y41" s="49"/>
      <c r="Z41" s="52" t="str">
        <f>IF($B41="","",IF(AND(OR(K41="Đã phát hành",K41="Hoàn thiện"),M41="Đã bàn giao"),"✔","✘"))</f>
        <v/>
      </c>
      <c r="AA41" s="52" t="str">
        <f>IF($B41="","",IF(Q41="Đã CU","✔","✘"))</f>
        <v/>
      </c>
      <c r="AB41" s="52" t="str">
        <f>IF($B41="","",IF(Y41="Đã duyệt","✔","✘"))</f>
        <v/>
      </c>
      <c r="AC41" s="52" t="str">
        <f>IF($B41="","",IF(AND(Z41="✔",AA41="✔",AB41="✔"),"ĐỦ ĐK KHỞI CÔNG","THIẾU ĐK"))</f>
        <v/>
      </c>
      <c r="AD41" s="51"/>
      <c r="AE41" s="52" t="str">
        <f>IF($B41="","",COUNTIFS('01_HSo TienKC'!$B:$B,$B41,'01_HSo TienKC'!$J:$J,"Đã duyệt"))</f>
        <v/>
      </c>
      <c r="AF41" s="39"/>
      <c r="AG41" s="39"/>
      <c r="AH41" s="39"/>
      <c r="AI41" s="52" t="str">
        <f>IF($B41="","",COUNTIFS('02_KH Thang_Tuan'!$B:$B,$B41,'02_KH Thang_Tuan'!$J:$J,"Đã duyệt")&amp;"/"&amp;COUNTIFS('02_KH Thang_Tuan'!$B:$B,$B41))</f>
        <v/>
      </c>
      <c r="AJ41" s="52" t="str">
        <f>IF($B41="","",COUNTIFS('03_Phat sinh'!$C:$C,$B41,'03_Phat sinh'!$M:$M,"&lt;&gt;Đã duyệt"))</f>
        <v/>
      </c>
      <c r="AK41" s="52" t="str">
        <f>IF($B41="","",COUNTIFS('04_CU dac thu'!$C:$C,$B41,'04_CU dac thu'!$N:$N,"&lt;&gt;Đã duyệt"))</f>
        <v/>
      </c>
      <c r="AL41" s="52" t="str">
        <f>IF($B41="","",COUNTIFS('05_Bu tien do'!$B:$B,$B41,'05_Bu tien do'!$N:$N,"&lt;&gt;Đã hoàn thành"))</f>
        <v/>
      </c>
      <c r="AM41" s="53"/>
      <c r="AN41" s="53"/>
      <c r="AO41" s="50"/>
      <c r="AP41" s="53"/>
      <c r="AQ41" s="53"/>
      <c r="AR41" s="50"/>
      <c r="AS41" s="53"/>
      <c r="AT41" s="53"/>
      <c r="AU41" s="50"/>
      <c r="AV41" s="53"/>
      <c r="AW41" s="53"/>
      <c r="AX41" s="50"/>
      <c r="AY41" s="53"/>
      <c r="AZ41" s="53"/>
      <c r="BA41" s="50"/>
      <c r="BB41" s="53"/>
      <c r="BC41" s="53"/>
      <c r="BD41" s="50"/>
    </row>
    <row r="42" spans="1:56" ht="25.5" customHeight="1" x14ac:dyDescent="0.2">
      <c r="A42" s="49" t="s">
        <v>210</v>
      </c>
      <c r="B42" s="49"/>
      <c r="C42" s="49" t="s">
        <v>142</v>
      </c>
      <c r="D42" s="57" t="s">
        <v>206</v>
      </c>
      <c r="E42" s="50" t="s">
        <v>196</v>
      </c>
      <c r="F42" s="49" t="s">
        <v>123</v>
      </c>
      <c r="G42" s="51">
        <v>46326</v>
      </c>
      <c r="H42" s="51">
        <v>46386</v>
      </c>
      <c r="I42" s="54">
        <v>4.0999999999999996</v>
      </c>
      <c r="J42" s="51"/>
      <c r="K42" s="49" t="s">
        <v>191</v>
      </c>
      <c r="L42" s="49" t="s">
        <v>192</v>
      </c>
      <c r="M42" s="49" t="s">
        <v>193</v>
      </c>
      <c r="N42" s="51">
        <v>46315</v>
      </c>
      <c r="O42" s="49" t="s">
        <v>194</v>
      </c>
      <c r="P42" s="51">
        <v>46326</v>
      </c>
      <c r="Q42" s="49"/>
      <c r="R42" s="51"/>
      <c r="S42" s="49"/>
      <c r="T42" s="54"/>
      <c r="U42" s="55" t="str">
        <f>IF(OR(I42="",T42=""),"",T42/I42)</f>
        <v/>
      </c>
      <c r="V42" s="51"/>
      <c r="W42" s="49"/>
      <c r="X42" s="51"/>
      <c r="Y42" s="49"/>
      <c r="Z42" s="52" t="str">
        <f>IF($B42="","",IF(AND(OR(K42="Đã phát hành",K42="Hoàn thiện"),M42="Đã bàn giao"),"✔","✘"))</f>
        <v/>
      </c>
      <c r="AA42" s="52" t="str">
        <f>IF($B42="","",IF(Q42="Đã CU","✔","✘"))</f>
        <v/>
      </c>
      <c r="AB42" s="52" t="str">
        <f>IF($B42="","",IF(Y42="Đã duyệt","✔","✘"))</f>
        <v/>
      </c>
      <c r="AC42" s="52" t="str">
        <f>IF($B42="","",IF(AND(Z42="✔",AA42="✔",AB42="✔"),"ĐỦ ĐK KHỞI CÔNG","THIẾU ĐK"))</f>
        <v/>
      </c>
      <c r="AD42" s="51"/>
      <c r="AE42" s="52" t="str">
        <f>IF($B42="","",COUNTIFS('01_HSo TienKC'!$B:$B,$B42,'01_HSo TienKC'!$J:$J,"Đã duyệt"))</f>
        <v/>
      </c>
      <c r="AF42" s="39"/>
      <c r="AG42" s="39"/>
      <c r="AH42" s="39"/>
      <c r="AI42" s="52" t="str">
        <f>IF($B42="","",COUNTIFS('02_KH Thang_Tuan'!$B:$B,$B42,'02_KH Thang_Tuan'!$J:$J,"Đã duyệt")&amp;"/"&amp;COUNTIFS('02_KH Thang_Tuan'!$B:$B,$B42))</f>
        <v/>
      </c>
      <c r="AJ42" s="52" t="str">
        <f>IF($B42="","",COUNTIFS('03_Phat sinh'!$C:$C,$B42,'03_Phat sinh'!$M:$M,"&lt;&gt;Đã duyệt"))</f>
        <v/>
      </c>
      <c r="AK42" s="52" t="str">
        <f>IF($B42="","",COUNTIFS('04_CU dac thu'!$C:$C,$B42,'04_CU dac thu'!$N:$N,"&lt;&gt;Đã duyệt"))</f>
        <v/>
      </c>
      <c r="AL42" s="52" t="str">
        <f>IF($B42="","",COUNTIFS('05_Bu tien do'!$B:$B,$B42,'05_Bu tien do'!$N:$N,"&lt;&gt;Đã hoàn thành"))</f>
        <v/>
      </c>
      <c r="AM42" s="53"/>
      <c r="AN42" s="53"/>
      <c r="AO42" s="50"/>
      <c r="AP42" s="53"/>
      <c r="AQ42" s="53"/>
      <c r="AR42" s="50"/>
      <c r="AS42" s="53"/>
      <c r="AT42" s="53"/>
      <c r="AU42" s="50"/>
      <c r="AV42" s="53"/>
      <c r="AW42" s="53"/>
      <c r="AX42" s="50"/>
      <c r="AY42" s="53"/>
      <c r="AZ42" s="53"/>
      <c r="BA42" s="50"/>
      <c r="BB42" s="53"/>
      <c r="BC42" s="53"/>
      <c r="BD42" s="50"/>
    </row>
    <row r="43" spans="1:56" ht="25.5" customHeight="1" x14ac:dyDescent="0.2">
      <c r="A43" s="49" t="s">
        <v>211</v>
      </c>
      <c r="B43" s="49"/>
      <c r="C43" s="49" t="s">
        <v>142</v>
      </c>
      <c r="D43" s="57" t="s">
        <v>206</v>
      </c>
      <c r="E43" s="50" t="s">
        <v>198</v>
      </c>
      <c r="F43" s="49" t="str">
        <f>+F40</f>
        <v>HĐLCNT / Tổng thầu</v>
      </c>
      <c r="G43" s="51">
        <v>46326</v>
      </c>
      <c r="H43" s="51">
        <v>46386</v>
      </c>
      <c r="I43" s="54">
        <v>31.2</v>
      </c>
      <c r="J43" s="51"/>
      <c r="K43" s="49" t="s">
        <v>191</v>
      </c>
      <c r="L43" s="49" t="s">
        <v>192</v>
      </c>
      <c r="M43" s="49" t="s">
        <v>193</v>
      </c>
      <c r="N43" s="51">
        <v>46315</v>
      </c>
      <c r="O43" s="49" t="s">
        <v>194</v>
      </c>
      <c r="P43" s="51">
        <v>46326</v>
      </c>
      <c r="Q43" s="49"/>
      <c r="R43" s="51"/>
      <c r="S43" s="49"/>
      <c r="T43" s="54"/>
      <c r="U43" s="55"/>
      <c r="V43" s="51"/>
      <c r="W43" s="49"/>
      <c r="X43" s="51"/>
      <c r="Y43" s="49"/>
      <c r="Z43" s="52"/>
      <c r="AA43" s="52"/>
      <c r="AB43" s="52"/>
      <c r="AC43" s="52"/>
      <c r="AD43" s="51"/>
      <c r="AE43" s="52"/>
      <c r="AF43" s="39"/>
      <c r="AG43" s="39"/>
      <c r="AH43" s="39"/>
      <c r="AI43" s="52"/>
      <c r="AJ43" s="52"/>
      <c r="AK43" s="52"/>
      <c r="AL43" s="52"/>
      <c r="AM43" s="53"/>
      <c r="AN43" s="53"/>
      <c r="AO43" s="50"/>
      <c r="AP43" s="53"/>
      <c r="AQ43" s="53"/>
      <c r="AR43" s="50"/>
      <c r="AS43" s="53"/>
      <c r="AT43" s="53"/>
      <c r="AU43" s="50"/>
      <c r="AV43" s="53"/>
      <c r="AW43" s="53"/>
      <c r="AX43" s="50"/>
      <c r="AY43" s="53"/>
      <c r="AZ43" s="53"/>
      <c r="BA43" s="50"/>
      <c r="BB43" s="53"/>
      <c r="BC43" s="53"/>
      <c r="BD43" s="50"/>
    </row>
    <row r="44" spans="1:56" ht="25.5" customHeight="1" x14ac:dyDescent="0.2">
      <c r="A44" s="49" t="s">
        <v>212</v>
      </c>
      <c r="B44" s="49"/>
      <c r="C44" s="49" t="s">
        <v>142</v>
      </c>
      <c r="D44" s="57" t="s">
        <v>206</v>
      </c>
      <c r="E44" s="50" t="s">
        <v>200</v>
      </c>
      <c r="F44" s="49" t="s">
        <v>123</v>
      </c>
      <c r="G44" s="51">
        <v>46357</v>
      </c>
      <c r="H44" s="51">
        <v>46387</v>
      </c>
      <c r="I44" s="54">
        <v>2.25</v>
      </c>
      <c r="J44" s="51"/>
      <c r="K44" s="49" t="s">
        <v>191</v>
      </c>
      <c r="L44" s="49" t="s">
        <v>192</v>
      </c>
      <c r="M44" s="49" t="s">
        <v>193</v>
      </c>
      <c r="N44" s="51">
        <f>+G44-10</f>
        <v>46347</v>
      </c>
      <c r="O44" s="49" t="s">
        <v>194</v>
      </c>
      <c r="P44" s="51">
        <f>+G44</f>
        <v>46357</v>
      </c>
      <c r="Q44" s="49"/>
      <c r="R44" s="51"/>
      <c r="S44" s="49"/>
      <c r="T44" s="54"/>
      <c r="U44" s="55"/>
      <c r="V44" s="51"/>
      <c r="W44" s="49"/>
      <c r="X44" s="51"/>
      <c r="Y44" s="49"/>
      <c r="Z44" s="52"/>
      <c r="AA44" s="52"/>
      <c r="AB44" s="52"/>
      <c r="AC44" s="52"/>
      <c r="AD44" s="51"/>
      <c r="AE44" s="52"/>
      <c r="AF44" s="39"/>
      <c r="AG44" s="39"/>
      <c r="AH44" s="39"/>
      <c r="AI44" s="52"/>
      <c r="AJ44" s="52"/>
      <c r="AK44" s="52"/>
      <c r="AL44" s="52"/>
      <c r="AM44" s="53"/>
      <c r="AN44" s="53"/>
      <c r="AO44" s="50"/>
      <c r="AP44" s="53"/>
      <c r="AQ44" s="53"/>
      <c r="AR44" s="50"/>
      <c r="AS44" s="53"/>
      <c r="AT44" s="53"/>
      <c r="AU44" s="50"/>
      <c r="AV44" s="53"/>
      <c r="AW44" s="53"/>
      <c r="AX44" s="50"/>
      <c r="AY44" s="53"/>
      <c r="AZ44" s="53"/>
      <c r="BA44" s="50"/>
      <c r="BB44" s="53"/>
      <c r="BC44" s="53"/>
      <c r="BD44" s="50"/>
    </row>
    <row r="45" spans="1:56" ht="25.5" customHeight="1" x14ac:dyDescent="0.2">
      <c r="A45" s="49" t="s">
        <v>213</v>
      </c>
      <c r="B45" s="49"/>
      <c r="C45" s="49" t="s">
        <v>142</v>
      </c>
      <c r="D45" s="57" t="s">
        <v>206</v>
      </c>
      <c r="E45" s="50" t="s">
        <v>181</v>
      </c>
      <c r="F45" s="49" t="s">
        <v>123</v>
      </c>
      <c r="G45" s="51">
        <v>46327</v>
      </c>
      <c r="H45" s="51">
        <v>46356</v>
      </c>
      <c r="I45" s="54">
        <v>2.6</v>
      </c>
      <c r="J45" s="51"/>
      <c r="K45" s="49" t="s">
        <v>191</v>
      </c>
      <c r="L45" s="49" t="s">
        <v>192</v>
      </c>
      <c r="M45" s="49" t="s">
        <v>193</v>
      </c>
      <c r="N45" s="51">
        <f>+G45-10</f>
        <v>46317</v>
      </c>
      <c r="O45" s="49" t="s">
        <v>194</v>
      </c>
      <c r="P45" s="51">
        <f>+G45</f>
        <v>46327</v>
      </c>
      <c r="Q45" s="49"/>
      <c r="R45" s="51"/>
      <c r="S45" s="49"/>
      <c r="T45" s="54"/>
      <c r="U45" s="55"/>
      <c r="V45" s="51"/>
      <c r="W45" s="49"/>
      <c r="X45" s="51"/>
      <c r="Y45" s="49"/>
      <c r="Z45" s="52"/>
      <c r="AA45" s="52"/>
      <c r="AB45" s="52"/>
      <c r="AC45" s="52"/>
      <c r="AD45" s="51"/>
      <c r="AE45" s="52"/>
      <c r="AF45" s="39"/>
      <c r="AG45" s="39"/>
      <c r="AH45" s="39"/>
      <c r="AI45" s="52"/>
      <c r="AJ45" s="52"/>
      <c r="AK45" s="52"/>
      <c r="AL45" s="52"/>
      <c r="AM45" s="53"/>
      <c r="AN45" s="53"/>
      <c r="AO45" s="50"/>
      <c r="AP45" s="53"/>
      <c r="AQ45" s="53"/>
      <c r="AR45" s="50"/>
      <c r="AS45" s="53"/>
      <c r="AT45" s="53"/>
      <c r="AU45" s="50"/>
      <c r="AV45" s="53"/>
      <c r="AW45" s="53"/>
      <c r="AX45" s="50"/>
      <c r="AY45" s="53"/>
      <c r="AZ45" s="53"/>
      <c r="BA45" s="50"/>
      <c r="BB45" s="53"/>
      <c r="BC45" s="53"/>
      <c r="BD45" s="50"/>
    </row>
    <row r="46" spans="1:56" ht="25.5" customHeight="1" x14ac:dyDescent="0.2">
      <c r="A46" s="49" t="s">
        <v>214</v>
      </c>
      <c r="B46" s="49"/>
      <c r="C46" s="49" t="s">
        <v>142</v>
      </c>
      <c r="D46" s="57" t="s">
        <v>206</v>
      </c>
      <c r="E46" s="50" t="s">
        <v>157</v>
      </c>
      <c r="F46" s="49" t="s">
        <v>123</v>
      </c>
      <c r="G46" s="51">
        <v>46341</v>
      </c>
      <c r="H46" s="51">
        <v>46371</v>
      </c>
      <c r="I46" s="54">
        <v>3.4</v>
      </c>
      <c r="J46" s="51"/>
      <c r="K46" s="49" t="s">
        <v>191</v>
      </c>
      <c r="L46" s="49" t="s">
        <v>192</v>
      </c>
      <c r="M46" s="49" t="s">
        <v>193</v>
      </c>
      <c r="N46" s="51">
        <f>+G46-10</f>
        <v>46331</v>
      </c>
      <c r="O46" s="49" t="s">
        <v>194</v>
      </c>
      <c r="P46" s="51">
        <f>+G46</f>
        <v>46341</v>
      </c>
      <c r="Q46" s="49"/>
      <c r="R46" s="51"/>
      <c r="S46" s="49"/>
      <c r="T46" s="54"/>
      <c r="U46" s="55"/>
      <c r="V46" s="51"/>
      <c r="W46" s="49"/>
      <c r="X46" s="51"/>
      <c r="Y46" s="49"/>
      <c r="Z46" s="52"/>
      <c r="AA46" s="52"/>
      <c r="AB46" s="52"/>
      <c r="AC46" s="52"/>
      <c r="AD46" s="51"/>
      <c r="AE46" s="52"/>
      <c r="AF46" s="39"/>
      <c r="AG46" s="39"/>
      <c r="AH46" s="39"/>
      <c r="AI46" s="52"/>
      <c r="AJ46" s="52"/>
      <c r="AK46" s="52"/>
      <c r="AL46" s="52"/>
      <c r="AM46" s="53"/>
      <c r="AN46" s="53"/>
      <c r="AO46" s="50"/>
      <c r="AP46" s="53"/>
      <c r="AQ46" s="53"/>
      <c r="AR46" s="50"/>
      <c r="AS46" s="53"/>
      <c r="AT46" s="53"/>
      <c r="AU46" s="50"/>
      <c r="AV46" s="53"/>
      <c r="AW46" s="53"/>
      <c r="AX46" s="50"/>
      <c r="AY46" s="53"/>
      <c r="AZ46" s="53"/>
      <c r="BA46" s="50"/>
      <c r="BB46" s="53"/>
      <c r="BC46" s="53"/>
      <c r="BD46" s="50"/>
    </row>
    <row r="47" spans="1:56" ht="25.5" customHeight="1" x14ac:dyDescent="0.2">
      <c r="A47" s="49" t="s">
        <v>215</v>
      </c>
      <c r="B47" s="49"/>
      <c r="C47" s="49" t="s">
        <v>142</v>
      </c>
      <c r="D47" s="57" t="s">
        <v>206</v>
      </c>
      <c r="E47" s="50" t="s">
        <v>204</v>
      </c>
      <c r="F47" s="49" t="str">
        <f>+F43</f>
        <v>HĐLCNT / Tổng thầu</v>
      </c>
      <c r="G47" s="51">
        <v>46357</v>
      </c>
      <c r="H47" s="51">
        <v>46387</v>
      </c>
      <c r="I47" s="54">
        <v>5.33</v>
      </c>
      <c r="J47" s="51"/>
      <c r="K47" s="49" t="s">
        <v>191</v>
      </c>
      <c r="L47" s="49" t="s">
        <v>192</v>
      </c>
      <c r="M47" s="49" t="s">
        <v>193</v>
      </c>
      <c r="N47" s="51">
        <f>+G47-10</f>
        <v>46347</v>
      </c>
      <c r="O47" s="49" t="s">
        <v>194</v>
      </c>
      <c r="P47" s="51">
        <f>+G47</f>
        <v>46357</v>
      </c>
      <c r="Q47" s="49"/>
      <c r="R47" s="51"/>
      <c r="S47" s="49"/>
      <c r="T47" s="54"/>
      <c r="U47" s="55"/>
      <c r="V47" s="51"/>
      <c r="W47" s="49"/>
      <c r="X47" s="51"/>
      <c r="Y47" s="49"/>
      <c r="Z47" s="52"/>
      <c r="AA47" s="52"/>
      <c r="AB47" s="52"/>
      <c r="AC47" s="52"/>
      <c r="AD47" s="51"/>
      <c r="AE47" s="52"/>
      <c r="AF47" s="39"/>
      <c r="AG47" s="39"/>
      <c r="AH47" s="39"/>
      <c r="AI47" s="52"/>
      <c r="AJ47" s="52"/>
      <c r="AK47" s="52"/>
      <c r="AL47" s="52"/>
      <c r="AM47" s="53"/>
      <c r="AN47" s="53"/>
      <c r="AO47" s="50"/>
      <c r="AP47" s="53"/>
      <c r="AQ47" s="53"/>
      <c r="AR47" s="50"/>
      <c r="AS47" s="53"/>
      <c r="AT47" s="53"/>
      <c r="AU47" s="50"/>
      <c r="AV47" s="53"/>
      <c r="AW47" s="53"/>
      <c r="AX47" s="50"/>
      <c r="AY47" s="53"/>
      <c r="AZ47" s="53"/>
      <c r="BA47" s="50"/>
      <c r="BB47" s="53"/>
      <c r="BC47" s="53"/>
      <c r="BD47" s="50"/>
    </row>
    <row r="48" spans="1:56" ht="25.5" customHeight="1" x14ac:dyDescent="0.2">
      <c r="A48" s="56">
        <v>4</v>
      </c>
      <c r="B48" s="56">
        <v>45</v>
      </c>
      <c r="C48" s="56" t="s">
        <v>216</v>
      </c>
      <c r="D48" s="56" t="s">
        <v>134</v>
      </c>
      <c r="E48" s="57" t="s">
        <v>217</v>
      </c>
      <c r="F48" s="56"/>
      <c r="G48" s="62">
        <v>46231</v>
      </c>
      <c r="H48" s="62">
        <v>46568</v>
      </c>
      <c r="I48" s="58"/>
      <c r="J48" s="62"/>
      <c r="K48" s="56"/>
      <c r="L48" s="56"/>
      <c r="M48" s="56"/>
      <c r="N48" s="62"/>
      <c r="O48" s="56"/>
      <c r="P48" s="62"/>
      <c r="Q48" s="56"/>
      <c r="R48" s="62"/>
      <c r="S48" s="56"/>
      <c r="T48" s="58"/>
      <c r="U48" s="58" t="str">
        <f>IF(OR(I48="",T48=""),"",T48/I48)</f>
        <v/>
      </c>
      <c r="V48" s="62"/>
      <c r="W48" s="56"/>
      <c r="X48" s="62"/>
      <c r="Y48" s="56"/>
      <c r="Z48" s="56" t="str">
        <f>IF($B48="","",IF(AND(OR(K48="Đã phát hành",K48="Hoàn thiện"),M48="Đã bàn giao"),"✔","✘"))</f>
        <v>✘</v>
      </c>
      <c r="AA48" s="56" t="str">
        <f>IF($B48="","",IF(Q48="Đã CU","✔","✘"))</f>
        <v>✘</v>
      </c>
      <c r="AB48" s="56" t="str">
        <f>IF($B48="","",IF(Y48="Đã duyệt","✔","✘"))</f>
        <v>✘</v>
      </c>
      <c r="AC48" s="56" t="str">
        <f>IF($B48="","",IF(AND(Z48="✔",AA48="✔",AB48="✔"),"ĐỦ ĐK KHỞI CÔNG","THIẾU ĐK"))</f>
        <v>THIẾU ĐK</v>
      </c>
      <c r="AD48" s="62">
        <v>46174</v>
      </c>
      <c r="AE48" s="56">
        <f>IF($B48="","",COUNTIFS('01_HSo TienKC'!$B:$B,$B48,'01_HSo TienKC'!$J:$J,"Đã duyệt"))</f>
        <v>0</v>
      </c>
      <c r="AF48" s="59"/>
      <c r="AG48" s="59"/>
      <c r="AH48" s="59"/>
      <c r="AI48" s="56" t="str">
        <f>IF($B48="","",COUNTIFS('02_KH Thang_Tuan'!$B:$B,$B48,'02_KH Thang_Tuan'!$J:$J,"Đã duyệt")&amp;"/"&amp;COUNTIFS('02_KH Thang_Tuan'!$B:$B,$B48))</f>
        <v>0/0</v>
      </c>
      <c r="AJ48" s="56">
        <f>IF($B48="","",COUNTIFS('03_Phat sinh'!$C:$C,$B48,'03_Phat sinh'!$M:$M,"&lt;&gt;Đã duyệt"))</f>
        <v>0</v>
      </c>
      <c r="AK48" s="56">
        <f>IF($B48="","",COUNTIFS('04_CU dac thu'!$C:$C,$B48,'04_CU dac thu'!$N:$N,"&lt;&gt;Đã duyệt"))</f>
        <v>0</v>
      </c>
      <c r="AL48" s="56">
        <f>IF($B48="","",COUNTIFS('05_Bu tien do'!$B:$B,$B48,'05_Bu tien do'!$N:$N,"&lt;&gt;Đã hoàn thành"))</f>
        <v>0</v>
      </c>
      <c r="AM48" s="60">
        <v>0.25</v>
      </c>
      <c r="AN48" s="60">
        <v>0.22</v>
      </c>
      <c r="AO48" s="57" t="s">
        <v>137</v>
      </c>
      <c r="AP48" s="60">
        <v>0.25</v>
      </c>
      <c r="AQ48" s="60">
        <v>0.22</v>
      </c>
      <c r="AR48" s="57" t="s">
        <v>137</v>
      </c>
      <c r="AS48" s="60">
        <v>0.06</v>
      </c>
      <c r="AT48" s="60">
        <v>0.06</v>
      </c>
      <c r="AU48" s="57"/>
      <c r="AV48" s="60">
        <v>0.12</v>
      </c>
      <c r="AW48" s="60">
        <v>0.11</v>
      </c>
      <c r="AX48" s="57" t="s">
        <v>138</v>
      </c>
      <c r="AY48" s="60">
        <v>0.19</v>
      </c>
      <c r="AZ48" s="60">
        <v>0.16</v>
      </c>
      <c r="BA48" s="57" t="s">
        <v>139</v>
      </c>
      <c r="BB48" s="60">
        <v>0.25</v>
      </c>
      <c r="BC48" s="60">
        <v>0.22</v>
      </c>
      <c r="BD48" s="57" t="s">
        <v>140</v>
      </c>
    </row>
    <row r="49" spans="1:56" ht="25.5" customHeight="1" x14ac:dyDescent="0.2">
      <c r="A49" s="49" t="s">
        <v>207</v>
      </c>
      <c r="B49" s="49"/>
      <c r="C49" s="49" t="s">
        <v>142</v>
      </c>
      <c r="D49" s="57" t="s">
        <v>217</v>
      </c>
      <c r="E49" s="50" t="s">
        <v>143</v>
      </c>
      <c r="F49" s="49" t="s">
        <v>123</v>
      </c>
      <c r="G49" s="51">
        <v>46218</v>
      </c>
      <c r="H49" s="51">
        <v>46264</v>
      </c>
      <c r="I49" s="54"/>
      <c r="J49" s="51">
        <v>46202</v>
      </c>
      <c r="K49" s="49"/>
      <c r="L49" s="49"/>
      <c r="M49" s="49"/>
      <c r="N49" s="51"/>
      <c r="O49" s="49"/>
      <c r="P49" s="51"/>
      <c r="Q49" s="49"/>
      <c r="R49" s="51"/>
      <c r="S49" s="49"/>
      <c r="T49" s="54"/>
      <c r="U49" s="55" t="str">
        <f>IF(OR(I49="",T49=""),"",T49/I49)</f>
        <v/>
      </c>
      <c r="V49" s="51"/>
      <c r="W49" s="49"/>
      <c r="X49" s="51"/>
      <c r="Y49" s="49"/>
      <c r="Z49" s="52" t="str">
        <f>IF($B49="","",IF(AND(OR(#REF!="Đã phát hành",#REF!="Hoàn thiện"),M49="Đã bàn giao"),"✔","✘"))</f>
        <v/>
      </c>
      <c r="AA49" s="52" t="str">
        <f>IF($B49="","",IF(Q49="Đã CU","✔","✘"))</f>
        <v/>
      </c>
      <c r="AB49" s="52" t="str">
        <f>IF($B49="","",IF(Y49="Đã duyệt","✔","✘"))</f>
        <v/>
      </c>
      <c r="AC49" s="52" t="str">
        <f>IF($B49="","",IF(AND(Z49="✔",AA49="✔",AB49="✔"),"ĐỦ ĐK KHỞI CÔNG","THIẾU ĐK"))</f>
        <v/>
      </c>
      <c r="AD49" s="51"/>
      <c r="AE49" s="52" t="str">
        <f>IF($B49="","",COUNTIFS('01_HSo TienKC'!$B:$B,$B49,'01_HSo TienKC'!$J:$J,"Đã duyệt"))</f>
        <v/>
      </c>
      <c r="AF49" s="39"/>
      <c r="AG49" s="39"/>
      <c r="AH49" s="39"/>
      <c r="AI49" s="52" t="str">
        <f>IF($B49="","",COUNTIFS('02_KH Thang_Tuan'!$B:$B,$B49,'02_KH Thang_Tuan'!$J:$J,"Đã duyệt")&amp;"/"&amp;COUNTIFS('02_KH Thang_Tuan'!$B:$B,$B49))</f>
        <v/>
      </c>
      <c r="AJ49" s="52" t="str">
        <f>IF($B49="","",COUNTIFS('03_Phat sinh'!$C:$C,$B49,'03_Phat sinh'!$M:$M,"&lt;&gt;Đã duyệt"))</f>
        <v/>
      </c>
      <c r="AK49" s="52" t="str">
        <f>IF($B49="","",COUNTIFS('04_CU dac thu'!$C:$C,$B49,'04_CU dac thu'!$N:$N,"&lt;&gt;Đã duyệt"))</f>
        <v/>
      </c>
      <c r="AL49" s="52" t="str">
        <f>IF($B49="","",COUNTIFS('05_Bu tien do'!$B:$B,$B49,'05_Bu tien do'!$N:$N,"&lt;&gt;Đã hoàn thành"))</f>
        <v/>
      </c>
      <c r="AM49" s="53"/>
      <c r="AN49" s="53"/>
      <c r="AO49" s="50"/>
      <c r="AP49" s="53"/>
      <c r="AQ49" s="53"/>
      <c r="AR49" s="50"/>
      <c r="AS49" s="53"/>
      <c r="AT49" s="53"/>
      <c r="AU49" s="50"/>
      <c r="AV49" s="53"/>
      <c r="AW49" s="53"/>
      <c r="AX49" s="50"/>
      <c r="AY49" s="53"/>
      <c r="AZ49" s="53"/>
      <c r="BA49" s="50"/>
      <c r="BB49" s="53"/>
      <c r="BC49" s="53"/>
      <c r="BD49" s="50"/>
    </row>
    <row r="50" spans="1:56" ht="33" customHeight="1" x14ac:dyDescent="0.2">
      <c r="A50" s="49" t="s">
        <v>208</v>
      </c>
      <c r="B50" s="49"/>
      <c r="C50" s="49" t="s">
        <v>142</v>
      </c>
      <c r="D50" s="57" t="s">
        <v>217</v>
      </c>
      <c r="E50" s="50" t="s">
        <v>189</v>
      </c>
      <c r="F50" s="49" t="s">
        <v>136</v>
      </c>
      <c r="G50" s="51">
        <v>46271</v>
      </c>
      <c r="H50" s="51">
        <v>46478</v>
      </c>
      <c r="I50" s="54"/>
      <c r="J50" s="51"/>
      <c r="K50" s="49"/>
      <c r="L50" s="49"/>
      <c r="M50" s="49"/>
      <c r="N50" s="51"/>
      <c r="O50" s="49"/>
      <c r="P50" s="51"/>
      <c r="Q50" s="49"/>
      <c r="R50" s="51"/>
      <c r="S50" s="49"/>
      <c r="T50" s="54"/>
      <c r="U50" s="55" t="str">
        <f>IF(OR(I50="",T50=""),"",T50/I50)</f>
        <v/>
      </c>
      <c r="V50" s="51"/>
      <c r="W50" s="49"/>
      <c r="X50" s="51"/>
      <c r="Y50" s="49"/>
      <c r="Z50" s="52" t="str">
        <f>IF($B50="","",IF(AND(OR(K49="Đã phát hành",K49="Hoàn thiện"),M50="Đã bàn giao"),"✔","✘"))</f>
        <v/>
      </c>
      <c r="AA50" s="52" t="str">
        <f>IF($B50="","",IF(Q50="Đã CU","✔","✘"))</f>
        <v/>
      </c>
      <c r="AB50" s="52" t="str">
        <f>IF($B50="","",IF(Y50="Đã duyệt","✔","✘"))</f>
        <v/>
      </c>
      <c r="AC50" s="52" t="str">
        <f>IF($B50="","",IF(AND(Z50="✔",AA50="✔",AB50="✔"),"ĐỦ ĐK KHỞI CÔNG","THIẾU ĐK"))</f>
        <v/>
      </c>
      <c r="AD50" s="51"/>
      <c r="AE50" s="52" t="str">
        <f>IF($B50="","",COUNTIFS('01_HSo TienKC'!$B:$B,$B50,'01_HSo TienKC'!$J:$J,"Đã duyệt"))</f>
        <v/>
      </c>
      <c r="AF50" s="39"/>
      <c r="AG50" s="39"/>
      <c r="AH50" s="39"/>
      <c r="AI50" s="52" t="str">
        <f>IF($B50="","",COUNTIFS('02_KH Thang_Tuan'!$B:$B,$B50,'02_KH Thang_Tuan'!$J:$J,"Đã duyệt")&amp;"/"&amp;COUNTIFS('02_KH Thang_Tuan'!$B:$B,$B50))</f>
        <v/>
      </c>
      <c r="AJ50" s="52" t="str">
        <f>IF($B50="","",COUNTIFS('03_Phat sinh'!$C:$C,$B50,'03_Phat sinh'!$M:$M,"&lt;&gt;Đã duyệt"))</f>
        <v/>
      </c>
      <c r="AK50" s="52" t="str">
        <f>IF($B50="","",COUNTIFS('04_CU dac thu'!$C:$C,$B50,'04_CU dac thu'!$N:$N,"&lt;&gt;Đã duyệt"))</f>
        <v/>
      </c>
      <c r="AL50" s="52" t="str">
        <f>IF($B50="","",COUNTIFS('05_Bu tien do'!$B:$B,$B50,'05_Bu tien do'!$N:$N,"&lt;&gt;Đã hoàn thành"))</f>
        <v/>
      </c>
      <c r="AM50" s="53"/>
      <c r="AN50" s="53"/>
      <c r="AO50" s="50"/>
      <c r="AP50" s="53"/>
      <c r="AQ50" s="53"/>
      <c r="AR50" s="50"/>
      <c r="AS50" s="53"/>
      <c r="AT50" s="53"/>
      <c r="AU50" s="50"/>
      <c r="AV50" s="53"/>
      <c r="AW50" s="53"/>
      <c r="AX50" s="50"/>
      <c r="AY50" s="53"/>
      <c r="AZ50" s="53"/>
      <c r="BA50" s="50"/>
      <c r="BB50" s="53"/>
      <c r="BC50" s="53"/>
      <c r="BD50" s="50"/>
    </row>
    <row r="51" spans="1:56" ht="25.5" customHeight="1" x14ac:dyDescent="0.2">
      <c r="A51" s="49" t="s">
        <v>209</v>
      </c>
      <c r="B51" s="49"/>
      <c r="C51" s="49" t="s">
        <v>142</v>
      </c>
      <c r="D51" s="57" t="s">
        <v>217</v>
      </c>
      <c r="E51" s="50" t="s">
        <v>147</v>
      </c>
      <c r="F51" s="49" t="s">
        <v>123</v>
      </c>
      <c r="G51" s="51">
        <v>46478</v>
      </c>
      <c r="H51" s="51">
        <v>46537</v>
      </c>
      <c r="I51" s="54"/>
      <c r="J51" s="51"/>
      <c r="K51" s="49"/>
      <c r="L51" s="49"/>
      <c r="M51" s="49"/>
      <c r="N51" s="51"/>
      <c r="O51" s="49"/>
      <c r="P51" s="51"/>
      <c r="Q51" s="49"/>
      <c r="R51" s="51"/>
      <c r="S51" s="49"/>
      <c r="T51" s="54"/>
      <c r="U51" s="55" t="str">
        <f>IF(OR(I51="",T51=""),"",T51/I51)</f>
        <v/>
      </c>
      <c r="V51" s="51"/>
      <c r="W51" s="49"/>
      <c r="X51" s="51"/>
      <c r="Y51" s="49"/>
      <c r="Z51" s="52" t="str">
        <f>IF($B51="","",IF(AND(OR(K51="Đã phát hành",K51="Hoàn thiện"),M51="Đã bàn giao"),"✔","✘"))</f>
        <v/>
      </c>
      <c r="AA51" s="52" t="str">
        <f>IF($B51="","",IF(Q51="Đã CU","✔","✘"))</f>
        <v/>
      </c>
      <c r="AB51" s="52" t="str">
        <f>IF($B51="","",IF(Y51="Đã duyệt","✔","✘"))</f>
        <v/>
      </c>
      <c r="AC51" s="52" t="str">
        <f>IF($B51="","",IF(AND(Z51="✔",AA51="✔",AB51="✔"),"ĐỦ ĐK KHỞI CÔNG","THIẾU ĐK"))</f>
        <v/>
      </c>
      <c r="AD51" s="51"/>
      <c r="AE51" s="52" t="str">
        <f>IF($B51="","",COUNTIFS('01_HSo TienKC'!$B:$B,$B51,'01_HSo TienKC'!$J:$J,"Đã duyệt"))</f>
        <v/>
      </c>
      <c r="AF51" s="39"/>
      <c r="AG51" s="39"/>
      <c r="AH51" s="39"/>
      <c r="AI51" s="52" t="str">
        <f>IF($B51="","",COUNTIFS('02_KH Thang_Tuan'!$B:$B,$B51,'02_KH Thang_Tuan'!$J:$J,"Đã duyệt")&amp;"/"&amp;COUNTIFS('02_KH Thang_Tuan'!$B:$B,$B51))</f>
        <v/>
      </c>
      <c r="AJ51" s="52" t="str">
        <f>IF($B51="","",COUNTIFS('03_Phat sinh'!$C:$C,$B51,'03_Phat sinh'!$M:$M,"&lt;&gt;Đã duyệt"))</f>
        <v/>
      </c>
      <c r="AK51" s="52" t="str">
        <f>IF($B51="","",COUNTIFS('04_CU dac thu'!$C:$C,$B51,'04_CU dac thu'!$N:$N,"&lt;&gt;Đã duyệt"))</f>
        <v/>
      </c>
      <c r="AL51" s="52" t="str">
        <f>IF($B51="","",COUNTIFS('05_Bu tien do'!$B:$B,$B51,'05_Bu tien do'!$N:$N,"&lt;&gt;Đã hoàn thành"))</f>
        <v/>
      </c>
      <c r="AM51" s="53"/>
      <c r="AN51" s="53"/>
      <c r="AO51" s="50"/>
      <c r="AP51" s="53"/>
      <c r="AQ51" s="53"/>
      <c r="AR51" s="50"/>
      <c r="AS51" s="53"/>
      <c r="AT51" s="53"/>
      <c r="AU51" s="50"/>
      <c r="AV51" s="53"/>
      <c r="AW51" s="53"/>
      <c r="AX51" s="50"/>
      <c r="AY51" s="53"/>
      <c r="AZ51" s="53"/>
      <c r="BA51" s="50"/>
      <c r="BB51" s="53"/>
      <c r="BC51" s="53"/>
      <c r="BD51" s="50"/>
    </row>
    <row r="52" spans="1:56" ht="25.5" customHeight="1" x14ac:dyDescent="0.2">
      <c r="A52" s="49" t="s">
        <v>210</v>
      </c>
      <c r="B52" s="49"/>
      <c r="C52" s="49" t="s">
        <v>142</v>
      </c>
      <c r="D52" s="57" t="s">
        <v>217</v>
      </c>
      <c r="E52" s="50" t="s">
        <v>196</v>
      </c>
      <c r="F52" s="49" t="s">
        <v>123</v>
      </c>
      <c r="G52" s="51">
        <v>46478</v>
      </c>
      <c r="H52" s="51">
        <v>46537</v>
      </c>
      <c r="I52" s="54"/>
      <c r="J52" s="51"/>
      <c r="K52" s="49"/>
      <c r="L52" s="49"/>
      <c r="M52" s="49"/>
      <c r="N52" s="51"/>
      <c r="O52" s="49"/>
      <c r="P52" s="51"/>
      <c r="Q52" s="49"/>
      <c r="R52" s="51"/>
      <c r="S52" s="49"/>
      <c r="T52" s="54"/>
      <c r="U52" s="55" t="str">
        <f>IF(OR(I52="",T52=""),"",T52/I52)</f>
        <v/>
      </c>
      <c r="V52" s="51"/>
      <c r="W52" s="49"/>
      <c r="X52" s="51"/>
      <c r="Y52" s="49"/>
      <c r="Z52" s="52" t="str">
        <f>IF($B52="","",IF(AND(OR(K52="Đã phát hành",K52="Hoàn thiện"),M52="Đã bàn giao"),"✔","✘"))</f>
        <v/>
      </c>
      <c r="AA52" s="52" t="str">
        <f>IF($B52="","",IF(Q52="Đã CU","✔","✘"))</f>
        <v/>
      </c>
      <c r="AB52" s="52" t="str">
        <f>IF($B52="","",IF(Y52="Đã duyệt","✔","✘"))</f>
        <v/>
      </c>
      <c r="AC52" s="52" t="str">
        <f>IF($B52="","",IF(AND(Z52="✔",AA52="✔",AB52="✔"),"ĐỦ ĐK KHỞI CÔNG","THIẾU ĐK"))</f>
        <v/>
      </c>
      <c r="AD52" s="51"/>
      <c r="AE52" s="52" t="str">
        <f>IF($B52="","",COUNTIFS('01_HSo TienKC'!$B:$B,$B52,'01_HSo TienKC'!$J:$J,"Đã duyệt"))</f>
        <v/>
      </c>
      <c r="AF52" s="39"/>
      <c r="AG52" s="39"/>
      <c r="AH52" s="39"/>
      <c r="AI52" s="52" t="str">
        <f>IF($B52="","",COUNTIFS('02_KH Thang_Tuan'!$B:$B,$B52,'02_KH Thang_Tuan'!$J:$J,"Đã duyệt")&amp;"/"&amp;COUNTIFS('02_KH Thang_Tuan'!$B:$B,$B52))</f>
        <v/>
      </c>
      <c r="AJ52" s="52" t="str">
        <f>IF($B52="","",COUNTIFS('03_Phat sinh'!$C:$C,$B52,'03_Phat sinh'!$M:$M,"&lt;&gt;Đã duyệt"))</f>
        <v/>
      </c>
      <c r="AK52" s="52" t="str">
        <f>IF($B52="","",COUNTIFS('04_CU dac thu'!$C:$C,$B52,'04_CU dac thu'!$N:$N,"&lt;&gt;Đã duyệt"))</f>
        <v/>
      </c>
      <c r="AL52" s="52" t="str">
        <f>IF($B52="","",COUNTIFS('05_Bu tien do'!$B:$B,$B52,'05_Bu tien do'!$N:$N,"&lt;&gt;Đã hoàn thành"))</f>
        <v/>
      </c>
      <c r="AM52" s="53"/>
      <c r="AN52" s="53"/>
      <c r="AO52" s="50"/>
      <c r="AP52" s="53"/>
      <c r="AQ52" s="53"/>
      <c r="AR52" s="50"/>
      <c r="AS52" s="53"/>
      <c r="AT52" s="53"/>
      <c r="AU52" s="50"/>
      <c r="AV52" s="53"/>
      <c r="AW52" s="53"/>
      <c r="AX52" s="50"/>
      <c r="AY52" s="53"/>
      <c r="AZ52" s="53"/>
      <c r="BA52" s="50"/>
      <c r="BB52" s="53"/>
      <c r="BC52" s="53"/>
      <c r="BD52" s="50"/>
    </row>
    <row r="53" spans="1:56" ht="25.5" customHeight="1" x14ac:dyDescent="0.2">
      <c r="A53" s="49" t="s">
        <v>211</v>
      </c>
      <c r="B53" s="49"/>
      <c r="C53" s="49" t="s">
        <v>142</v>
      </c>
      <c r="D53" s="57" t="s">
        <v>217</v>
      </c>
      <c r="E53" s="50" t="s">
        <v>198</v>
      </c>
      <c r="F53" s="49" t="str">
        <f>+F50</f>
        <v>HĐLCNT / Tổng thầu</v>
      </c>
      <c r="G53" s="51">
        <v>46172</v>
      </c>
      <c r="H53" s="51">
        <v>46568</v>
      </c>
      <c r="I53" s="54"/>
      <c r="J53" s="51"/>
      <c r="K53" s="49"/>
      <c r="L53" s="49"/>
      <c r="M53" s="49"/>
      <c r="N53" s="51"/>
      <c r="O53" s="49"/>
      <c r="P53" s="51"/>
      <c r="Q53" s="49"/>
      <c r="R53" s="51"/>
      <c r="S53" s="49"/>
      <c r="T53" s="54"/>
      <c r="U53" s="55"/>
      <c r="V53" s="51"/>
      <c r="W53" s="49"/>
      <c r="X53" s="51"/>
      <c r="Y53" s="49"/>
      <c r="Z53" s="52"/>
      <c r="AA53" s="52"/>
      <c r="AB53" s="52"/>
      <c r="AC53" s="52"/>
      <c r="AD53" s="51"/>
      <c r="AE53" s="52"/>
      <c r="AF53" s="39"/>
      <c r="AG53" s="39"/>
      <c r="AH53" s="39"/>
      <c r="AI53" s="52"/>
      <c r="AJ53" s="52"/>
      <c r="AK53" s="52"/>
      <c r="AL53" s="52"/>
      <c r="AM53" s="53"/>
      <c r="AN53" s="53"/>
      <c r="AO53" s="50"/>
      <c r="AP53" s="53"/>
      <c r="AQ53" s="53"/>
      <c r="AR53" s="50"/>
      <c r="AS53" s="53"/>
      <c r="AT53" s="53"/>
      <c r="AU53" s="50"/>
      <c r="AV53" s="53"/>
      <c r="AW53" s="53"/>
      <c r="AX53" s="50"/>
      <c r="AY53" s="53"/>
      <c r="AZ53" s="53"/>
      <c r="BA53" s="50"/>
      <c r="BB53" s="53"/>
      <c r="BC53" s="53"/>
      <c r="BD53" s="50"/>
    </row>
    <row r="54" spans="1:56" ht="25.5" customHeight="1" x14ac:dyDescent="0.2">
      <c r="A54" s="49" t="s">
        <v>212</v>
      </c>
      <c r="B54" s="49"/>
      <c r="C54" s="49" t="s">
        <v>142</v>
      </c>
      <c r="D54" s="57" t="s">
        <v>217</v>
      </c>
      <c r="E54" s="50" t="s">
        <v>200</v>
      </c>
      <c r="F54" s="49" t="s">
        <v>123</v>
      </c>
      <c r="G54" s="51">
        <v>46172</v>
      </c>
      <c r="H54" s="51">
        <v>46568</v>
      </c>
      <c r="I54" s="54"/>
      <c r="J54" s="51"/>
      <c r="K54" s="49"/>
      <c r="L54" s="49"/>
      <c r="M54" s="49"/>
      <c r="N54" s="51"/>
      <c r="O54" s="49"/>
      <c r="P54" s="51"/>
      <c r="Q54" s="49"/>
      <c r="R54" s="51"/>
      <c r="S54" s="49"/>
      <c r="T54" s="54"/>
      <c r="U54" s="55"/>
      <c r="V54" s="51"/>
      <c r="W54" s="49"/>
      <c r="X54" s="51"/>
      <c r="Y54" s="49"/>
      <c r="Z54" s="52"/>
      <c r="AA54" s="52"/>
      <c r="AB54" s="52"/>
      <c r="AC54" s="52"/>
      <c r="AD54" s="51"/>
      <c r="AE54" s="52"/>
      <c r="AF54" s="39"/>
      <c r="AG54" s="39"/>
      <c r="AH54" s="39"/>
      <c r="AI54" s="52"/>
      <c r="AJ54" s="52"/>
      <c r="AK54" s="52"/>
      <c r="AL54" s="52"/>
      <c r="AM54" s="53"/>
      <c r="AN54" s="53"/>
      <c r="AO54" s="50"/>
      <c r="AP54" s="53"/>
      <c r="AQ54" s="53"/>
      <c r="AR54" s="50"/>
      <c r="AS54" s="53"/>
      <c r="AT54" s="53"/>
      <c r="AU54" s="50"/>
      <c r="AV54" s="53"/>
      <c r="AW54" s="53"/>
      <c r="AX54" s="50"/>
      <c r="AY54" s="53"/>
      <c r="AZ54" s="53"/>
      <c r="BA54" s="50"/>
      <c r="BB54" s="53"/>
      <c r="BC54" s="53"/>
      <c r="BD54" s="50"/>
    </row>
    <row r="55" spans="1:56" ht="25.5" customHeight="1" x14ac:dyDescent="0.2">
      <c r="A55" s="49" t="s">
        <v>213</v>
      </c>
      <c r="B55" s="49"/>
      <c r="C55" s="49" t="s">
        <v>142</v>
      </c>
      <c r="D55" s="57" t="s">
        <v>217</v>
      </c>
      <c r="E55" s="50" t="s">
        <v>181</v>
      </c>
      <c r="F55" s="49" t="s">
        <v>123</v>
      </c>
      <c r="G55" s="51">
        <v>46508</v>
      </c>
      <c r="H55" s="51">
        <v>46537</v>
      </c>
      <c r="I55" s="54"/>
      <c r="J55" s="51"/>
      <c r="K55" s="49"/>
      <c r="L55" s="49"/>
      <c r="M55" s="49"/>
      <c r="N55" s="51"/>
      <c r="O55" s="49"/>
      <c r="P55" s="51"/>
      <c r="Q55" s="49"/>
      <c r="R55" s="51"/>
      <c r="S55" s="49"/>
      <c r="T55" s="54"/>
      <c r="U55" s="55"/>
      <c r="V55" s="51"/>
      <c r="W55" s="49"/>
      <c r="X55" s="51"/>
      <c r="Y55" s="49"/>
      <c r="Z55" s="52"/>
      <c r="AA55" s="52"/>
      <c r="AB55" s="52"/>
      <c r="AC55" s="52"/>
      <c r="AD55" s="51"/>
      <c r="AE55" s="52"/>
      <c r="AF55" s="39"/>
      <c r="AG55" s="39"/>
      <c r="AH55" s="39"/>
      <c r="AI55" s="52"/>
      <c r="AJ55" s="52"/>
      <c r="AK55" s="52"/>
      <c r="AL55" s="52"/>
      <c r="AM55" s="53"/>
      <c r="AN55" s="53"/>
      <c r="AO55" s="50"/>
      <c r="AP55" s="53"/>
      <c r="AQ55" s="53"/>
      <c r="AR55" s="50"/>
      <c r="AS55" s="53"/>
      <c r="AT55" s="53"/>
      <c r="AU55" s="50"/>
      <c r="AV55" s="53"/>
      <c r="AW55" s="53"/>
      <c r="AX55" s="50"/>
      <c r="AY55" s="53"/>
      <c r="AZ55" s="53"/>
      <c r="BA55" s="50"/>
      <c r="BB55" s="53"/>
      <c r="BC55" s="53"/>
      <c r="BD55" s="50"/>
    </row>
    <row r="56" spans="1:56" ht="25.5" customHeight="1" x14ac:dyDescent="0.2">
      <c r="A56" s="49" t="s">
        <v>214</v>
      </c>
      <c r="B56" s="49"/>
      <c r="C56" s="49" t="s">
        <v>142</v>
      </c>
      <c r="D56" s="57" t="s">
        <v>217</v>
      </c>
      <c r="E56" s="50" t="s">
        <v>157</v>
      </c>
      <c r="F56" s="49" t="s">
        <v>123</v>
      </c>
      <c r="G56" s="51">
        <v>46522</v>
      </c>
      <c r="H56" s="51">
        <v>46553</v>
      </c>
      <c r="I56" s="54"/>
      <c r="J56" s="51"/>
      <c r="K56" s="49"/>
      <c r="L56" s="49"/>
      <c r="M56" s="49"/>
      <c r="N56" s="51"/>
      <c r="O56" s="49"/>
      <c r="P56" s="51"/>
      <c r="Q56" s="49"/>
      <c r="R56" s="51"/>
      <c r="S56" s="49"/>
      <c r="T56" s="54"/>
      <c r="U56" s="55"/>
      <c r="V56" s="51"/>
      <c r="W56" s="49"/>
      <c r="X56" s="51"/>
      <c r="Y56" s="49"/>
      <c r="Z56" s="52"/>
      <c r="AA56" s="52"/>
      <c r="AB56" s="52"/>
      <c r="AC56" s="52"/>
      <c r="AD56" s="51"/>
      <c r="AE56" s="52"/>
      <c r="AF56" s="39"/>
      <c r="AG56" s="39"/>
      <c r="AH56" s="39"/>
      <c r="AI56" s="52"/>
      <c r="AJ56" s="52"/>
      <c r="AK56" s="52"/>
      <c r="AL56" s="52"/>
      <c r="AM56" s="53"/>
      <c r="AN56" s="53"/>
      <c r="AO56" s="50"/>
      <c r="AP56" s="53"/>
      <c r="AQ56" s="53"/>
      <c r="AR56" s="50"/>
      <c r="AS56" s="53"/>
      <c r="AT56" s="53"/>
      <c r="AU56" s="50"/>
      <c r="AV56" s="53"/>
      <c r="AW56" s="53"/>
      <c r="AX56" s="50"/>
      <c r="AY56" s="53"/>
      <c r="AZ56" s="53"/>
      <c r="BA56" s="50"/>
      <c r="BB56" s="53"/>
      <c r="BC56" s="53"/>
      <c r="BD56" s="50"/>
    </row>
    <row r="57" spans="1:56" ht="25.5" customHeight="1" x14ac:dyDescent="0.2">
      <c r="A57" s="49" t="s">
        <v>215</v>
      </c>
      <c r="B57" s="49"/>
      <c r="C57" s="49" t="s">
        <v>142</v>
      </c>
      <c r="D57" s="57" t="s">
        <v>217</v>
      </c>
      <c r="E57" s="50" t="s">
        <v>204</v>
      </c>
      <c r="F57" s="49" t="str">
        <f>+F53</f>
        <v>HĐLCNT / Tổng thầu</v>
      </c>
      <c r="G57" s="51">
        <v>46539</v>
      </c>
      <c r="H57" s="51">
        <v>46568</v>
      </c>
      <c r="I57" s="54"/>
      <c r="J57" s="51"/>
      <c r="K57" s="49"/>
      <c r="L57" s="49"/>
      <c r="M57" s="49"/>
      <c r="N57" s="51"/>
      <c r="O57" s="49"/>
      <c r="P57" s="51"/>
      <c r="Q57" s="49"/>
      <c r="R57" s="51"/>
      <c r="S57" s="49"/>
      <c r="T57" s="54"/>
      <c r="U57" s="55"/>
      <c r="V57" s="51"/>
      <c r="W57" s="49"/>
      <c r="X57" s="51"/>
      <c r="Y57" s="49"/>
      <c r="Z57" s="52"/>
      <c r="AA57" s="52"/>
      <c r="AB57" s="52"/>
      <c r="AC57" s="52"/>
      <c r="AD57" s="51"/>
      <c r="AE57" s="52"/>
      <c r="AF57" s="39"/>
      <c r="AG57" s="39"/>
      <c r="AH57" s="39"/>
      <c r="AI57" s="52"/>
      <c r="AJ57" s="52"/>
      <c r="AK57" s="52"/>
      <c r="AL57" s="52"/>
      <c r="AM57" s="53"/>
      <c r="AN57" s="53"/>
      <c r="AO57" s="50"/>
      <c r="AP57" s="53"/>
      <c r="AQ57" s="53"/>
      <c r="AR57" s="50"/>
      <c r="AS57" s="53"/>
      <c r="AT57" s="53"/>
      <c r="AU57" s="50"/>
      <c r="AV57" s="53"/>
      <c r="AW57" s="53"/>
      <c r="AX57" s="50"/>
      <c r="AY57" s="53"/>
      <c r="AZ57" s="53"/>
      <c r="BA57" s="50"/>
      <c r="BB57" s="53"/>
      <c r="BC57" s="53"/>
      <c r="BD57" s="50"/>
    </row>
    <row r="58" spans="1:56" ht="25.5" customHeight="1" x14ac:dyDescent="0.2">
      <c r="A58" s="69">
        <v>5</v>
      </c>
      <c r="B58" s="69">
        <v>56</v>
      </c>
      <c r="C58" s="69" t="s">
        <v>218</v>
      </c>
      <c r="D58" s="69" t="s">
        <v>134</v>
      </c>
      <c r="E58" s="70" t="s">
        <v>491</v>
      </c>
      <c r="F58" s="69"/>
      <c r="G58" s="71">
        <v>46231</v>
      </c>
      <c r="H58" s="71">
        <v>46568</v>
      </c>
      <c r="I58" s="72"/>
      <c r="J58" s="71"/>
      <c r="K58" s="69"/>
      <c r="L58" s="69"/>
      <c r="M58" s="69"/>
      <c r="N58" s="71"/>
      <c r="O58" s="69"/>
      <c r="P58" s="71"/>
      <c r="Q58" s="69"/>
      <c r="R58" s="71"/>
      <c r="S58" s="69"/>
      <c r="T58" s="72"/>
      <c r="U58" s="72" t="str">
        <f>IF(OR(I58="",T58=""),"",T58/I58)</f>
        <v/>
      </c>
      <c r="V58" s="71"/>
      <c r="W58" s="69"/>
      <c r="X58" s="71"/>
      <c r="Y58" s="69"/>
      <c r="Z58" s="69" t="str">
        <f>IF($B58="","",IF(AND(OR(K58="Đã phát hành",K58="Hoàn thiện"),M58="Đã bàn giao"),"✔","✘"))</f>
        <v>✘</v>
      </c>
      <c r="AA58" s="69" t="str">
        <f>IF($B58="","",IF(Q58="Đã CU","✔","✘"))</f>
        <v>✘</v>
      </c>
      <c r="AB58" s="69" t="str">
        <f>IF($B58="","",IF(Y58="Đã duyệt","✔","✘"))</f>
        <v>✘</v>
      </c>
      <c r="AC58" s="69" t="str">
        <f>IF($B58="","",IF(AND(Z58="✔",AA58="✔",AB58="✔"),"ĐỦ ĐK KHỞI CÔNG","THIẾU ĐK"))</f>
        <v>THIẾU ĐK</v>
      </c>
      <c r="AD58" s="71">
        <v>46174</v>
      </c>
      <c r="AE58" s="69">
        <f>IF($B58="","",COUNTIFS('01_HSo TienKC'!$B:$B,$B58,'01_HSo TienKC'!$J:$J,"Đã duyệt"))</f>
        <v>0</v>
      </c>
      <c r="AF58" s="73"/>
      <c r="AG58" s="73"/>
      <c r="AH58" s="73"/>
      <c r="AI58" s="69" t="str">
        <f>IF($B58="","",COUNTIFS('02_KH Thang_Tuan'!$B:$B,$B58,'02_KH Thang_Tuan'!$J:$J,"Đã duyệt")&amp;"/"&amp;COUNTIFS('02_KH Thang_Tuan'!$B:$B,$B58))</f>
        <v>0/0</v>
      </c>
      <c r="AJ58" s="69">
        <f>IF($B58="","",COUNTIFS('03_Phat sinh'!$C:$C,$B58,'03_Phat sinh'!$M:$M,"&lt;&gt;Đã duyệt"))</f>
        <v>0</v>
      </c>
      <c r="AK58" s="69">
        <f>IF($B58="","",COUNTIFS('04_CU dac thu'!$C:$C,$B58,'04_CU dac thu'!$N:$N,"&lt;&gt;Đã duyệt"))</f>
        <v>0</v>
      </c>
      <c r="AL58" s="69">
        <f>IF($B58="","",COUNTIFS('05_Bu tien do'!$B:$B,$B58,'05_Bu tien do'!$N:$N,"&lt;&gt;Đã hoàn thành"))</f>
        <v>0</v>
      </c>
      <c r="AM58" s="74">
        <v>0.25</v>
      </c>
      <c r="AN58" s="74">
        <v>0.22</v>
      </c>
      <c r="AO58" s="70" t="s">
        <v>137</v>
      </c>
      <c r="AP58" s="74">
        <v>0.25</v>
      </c>
      <c r="AQ58" s="74">
        <v>0.22</v>
      </c>
      <c r="AR58" s="70" t="s">
        <v>137</v>
      </c>
      <c r="AS58" s="74">
        <v>0.06</v>
      </c>
      <c r="AT58" s="74">
        <v>0.06</v>
      </c>
      <c r="AU58" s="70"/>
      <c r="AV58" s="74">
        <v>0.12</v>
      </c>
      <c r="AW58" s="74">
        <v>0.11</v>
      </c>
      <c r="AX58" s="70" t="s">
        <v>138</v>
      </c>
      <c r="AY58" s="74">
        <v>0.19</v>
      </c>
      <c r="AZ58" s="74">
        <v>0.16</v>
      </c>
      <c r="BA58" s="70" t="s">
        <v>139</v>
      </c>
      <c r="BB58" s="74">
        <v>0.25</v>
      </c>
      <c r="BC58" s="74">
        <v>0.22</v>
      </c>
      <c r="BD58" s="70" t="s">
        <v>140</v>
      </c>
    </row>
    <row r="59" spans="1:56" ht="25.5" customHeight="1" x14ac:dyDescent="0.2">
      <c r="A59" s="49" t="s">
        <v>219</v>
      </c>
      <c r="B59" s="49"/>
      <c r="C59" s="49" t="s">
        <v>142</v>
      </c>
      <c r="D59" s="70" t="s">
        <v>491</v>
      </c>
      <c r="E59" s="50" t="s">
        <v>143</v>
      </c>
      <c r="F59" s="49" t="s">
        <v>123</v>
      </c>
      <c r="G59" s="51">
        <v>46231</v>
      </c>
      <c r="H59" s="51">
        <v>46271</v>
      </c>
      <c r="I59" s="54"/>
      <c r="J59" s="51"/>
      <c r="K59" s="49"/>
      <c r="L59" s="49"/>
      <c r="M59" s="49"/>
      <c r="N59" s="51"/>
      <c r="O59" s="49"/>
      <c r="P59" s="51"/>
      <c r="Q59" s="49"/>
      <c r="R59" s="51"/>
      <c r="S59" s="49"/>
      <c r="T59" s="54"/>
      <c r="U59" s="55" t="str">
        <f>IF(OR(I59="",T59=""),"",T59/I59)</f>
        <v/>
      </c>
      <c r="V59" s="51"/>
      <c r="W59" s="49"/>
      <c r="X59" s="51"/>
      <c r="Y59" s="49"/>
      <c r="Z59" s="52" t="str">
        <f>IF($B59="","",IF(AND(OR(#REF!="Đã phát hành",#REF!="Hoàn thiện"),M59="Đã bàn giao"),"✔","✘"))</f>
        <v/>
      </c>
      <c r="AA59" s="52" t="str">
        <f>IF($B59="","",IF(Q59="Đã CU","✔","✘"))</f>
        <v/>
      </c>
      <c r="AB59" s="52" t="str">
        <f>IF($B59="","",IF(Y59="Đã duyệt","✔","✘"))</f>
        <v/>
      </c>
      <c r="AC59" s="52" t="str">
        <f>IF($B59="","",IF(AND(Z59="✔",AA59="✔",AB59="✔"),"ĐỦ ĐK KHỞI CÔNG","THIẾU ĐK"))</f>
        <v/>
      </c>
      <c r="AD59" s="51"/>
      <c r="AE59" s="52" t="str">
        <f>IF($B59="","",COUNTIFS('01_HSo TienKC'!$B:$B,$B59,'01_HSo TienKC'!$J:$J,"Đã duyệt"))</f>
        <v/>
      </c>
      <c r="AF59" s="39"/>
      <c r="AG59" s="39"/>
      <c r="AH59" s="39"/>
      <c r="AI59" s="52" t="str">
        <f>IF($B59="","",COUNTIFS('02_KH Thang_Tuan'!$B:$B,$B59,'02_KH Thang_Tuan'!$J:$J,"Đã duyệt")&amp;"/"&amp;COUNTIFS('02_KH Thang_Tuan'!$B:$B,$B59))</f>
        <v/>
      </c>
      <c r="AJ59" s="52" t="str">
        <f>IF($B59="","",COUNTIFS('03_Phat sinh'!$C:$C,$B59,'03_Phat sinh'!$M:$M,"&lt;&gt;Đã duyệt"))</f>
        <v/>
      </c>
      <c r="AK59" s="52" t="str">
        <f>IF($B59="","",COUNTIFS('04_CU dac thu'!$C:$C,$B59,'04_CU dac thu'!$N:$N,"&lt;&gt;Đã duyệt"))</f>
        <v/>
      </c>
      <c r="AL59" s="52" t="str">
        <f>IF($B59="","",COUNTIFS('05_Bu tien do'!$B:$B,$B59,'05_Bu tien do'!$N:$N,"&lt;&gt;Đã hoàn thành"))</f>
        <v/>
      </c>
      <c r="AM59" s="53"/>
      <c r="AN59" s="53"/>
      <c r="AO59" s="50"/>
      <c r="AP59" s="53"/>
      <c r="AQ59" s="53"/>
      <c r="AR59" s="50"/>
      <c r="AS59" s="53"/>
      <c r="AT59" s="53"/>
      <c r="AU59" s="50"/>
      <c r="AV59" s="53"/>
      <c r="AW59" s="53"/>
      <c r="AX59" s="50"/>
      <c r="AY59" s="53"/>
      <c r="AZ59" s="53"/>
      <c r="BA59" s="50"/>
      <c r="BB59" s="53"/>
      <c r="BC59" s="53"/>
      <c r="BD59" s="50"/>
    </row>
    <row r="60" spans="1:56" ht="25.5" customHeight="1" x14ac:dyDescent="0.2">
      <c r="A60" s="49" t="s">
        <v>220</v>
      </c>
      <c r="B60" s="49"/>
      <c r="C60" s="49" t="s">
        <v>142</v>
      </c>
      <c r="D60" s="70" t="s">
        <v>491</v>
      </c>
      <c r="E60" s="50" t="s">
        <v>189</v>
      </c>
      <c r="F60" s="49" t="s">
        <v>136</v>
      </c>
      <c r="G60" s="51">
        <v>46271</v>
      </c>
      <c r="H60" s="51">
        <v>46478</v>
      </c>
      <c r="I60" s="54"/>
      <c r="J60" s="51"/>
      <c r="K60" s="49"/>
      <c r="L60" s="49"/>
      <c r="M60" s="49"/>
      <c r="N60" s="51"/>
      <c r="O60" s="49"/>
      <c r="P60" s="51"/>
      <c r="Q60" s="49"/>
      <c r="R60" s="51"/>
      <c r="S60" s="49"/>
      <c r="T60" s="54"/>
      <c r="U60" s="55" t="str">
        <f>IF(OR(I60="",T60=""),"",T60/I60)</f>
        <v/>
      </c>
      <c r="V60" s="51"/>
      <c r="W60" s="49"/>
      <c r="X60" s="51"/>
      <c r="Y60" s="49"/>
      <c r="Z60" s="52" t="str">
        <f>IF($B60="","",IF(AND(OR(K59="Đã phát hành",K59="Hoàn thiện"),M60="Đã bàn giao"),"✔","✘"))</f>
        <v/>
      </c>
      <c r="AA60" s="52" t="str">
        <f>IF($B60="","",IF(Q60="Đã CU","✔","✘"))</f>
        <v/>
      </c>
      <c r="AB60" s="52" t="str">
        <f>IF($B60="","",IF(Y60="Đã duyệt","✔","✘"))</f>
        <v/>
      </c>
      <c r="AC60" s="52" t="str">
        <f>IF($B60="","",IF(AND(Z60="✔",AA60="✔",AB60="✔"),"ĐỦ ĐK KHỞI CÔNG","THIẾU ĐK"))</f>
        <v/>
      </c>
      <c r="AD60" s="51"/>
      <c r="AE60" s="52" t="str">
        <f>IF($B60="","",COUNTIFS('01_HSo TienKC'!$B:$B,$B60,'01_HSo TienKC'!$J:$J,"Đã duyệt"))</f>
        <v/>
      </c>
      <c r="AF60" s="39"/>
      <c r="AG60" s="39"/>
      <c r="AH60" s="39"/>
      <c r="AI60" s="52" t="str">
        <f>IF($B60="","",COUNTIFS('02_KH Thang_Tuan'!$B:$B,$B60,'02_KH Thang_Tuan'!$J:$J,"Đã duyệt")&amp;"/"&amp;COUNTIFS('02_KH Thang_Tuan'!$B:$B,$B60))</f>
        <v/>
      </c>
      <c r="AJ60" s="52" t="str">
        <f>IF($B60="","",COUNTIFS('03_Phat sinh'!$C:$C,$B60,'03_Phat sinh'!$M:$M,"&lt;&gt;Đã duyệt"))</f>
        <v/>
      </c>
      <c r="AK60" s="52" t="str">
        <f>IF($B60="","",COUNTIFS('04_CU dac thu'!$C:$C,$B60,'04_CU dac thu'!$N:$N,"&lt;&gt;Đã duyệt"))</f>
        <v/>
      </c>
      <c r="AL60" s="52" t="str">
        <f>IF($B60="","",COUNTIFS('05_Bu tien do'!$B:$B,$B60,'05_Bu tien do'!$N:$N,"&lt;&gt;Đã hoàn thành"))</f>
        <v/>
      </c>
      <c r="AM60" s="53"/>
      <c r="AN60" s="53"/>
      <c r="AO60" s="50"/>
      <c r="AP60" s="53"/>
      <c r="AQ60" s="53"/>
      <c r="AR60" s="50"/>
      <c r="AS60" s="53"/>
      <c r="AT60" s="53"/>
      <c r="AU60" s="50"/>
      <c r="AV60" s="53"/>
      <c r="AW60" s="53"/>
      <c r="AX60" s="50"/>
      <c r="AY60" s="53"/>
      <c r="AZ60" s="53"/>
      <c r="BA60" s="50"/>
      <c r="BB60" s="53"/>
      <c r="BC60" s="53"/>
      <c r="BD60" s="50"/>
    </row>
    <row r="61" spans="1:56" ht="25.5" customHeight="1" x14ac:dyDescent="0.2">
      <c r="A61" s="49" t="s">
        <v>221</v>
      </c>
      <c r="B61" s="49"/>
      <c r="C61" s="49" t="s">
        <v>142</v>
      </c>
      <c r="D61" s="70" t="s">
        <v>491</v>
      </c>
      <c r="E61" s="50" t="s">
        <v>147</v>
      </c>
      <c r="F61" s="49" t="s">
        <v>123</v>
      </c>
      <c r="G61" s="51">
        <v>46478</v>
      </c>
      <c r="H61" s="51">
        <v>46537</v>
      </c>
      <c r="I61" s="54"/>
      <c r="J61" s="51"/>
      <c r="K61" s="49"/>
      <c r="L61" s="49"/>
      <c r="M61" s="49"/>
      <c r="N61" s="51"/>
      <c r="O61" s="49"/>
      <c r="P61" s="51"/>
      <c r="Q61" s="49"/>
      <c r="R61" s="51"/>
      <c r="S61" s="49"/>
      <c r="T61" s="54"/>
      <c r="U61" s="55" t="str">
        <f>IF(OR(I61="",T61=""),"",T61/I61)</f>
        <v/>
      </c>
      <c r="V61" s="51"/>
      <c r="W61" s="49"/>
      <c r="X61" s="51"/>
      <c r="Y61" s="49"/>
      <c r="Z61" s="52" t="str">
        <f>IF($B61="","",IF(AND(OR(K61="Đã phát hành",K61="Hoàn thiện"),M61="Đã bàn giao"),"✔","✘"))</f>
        <v/>
      </c>
      <c r="AA61" s="52" t="str">
        <f>IF($B61="","",IF(Q61="Đã CU","✔","✘"))</f>
        <v/>
      </c>
      <c r="AB61" s="52" t="str">
        <f>IF($B61="","",IF(Y61="Đã duyệt","✔","✘"))</f>
        <v/>
      </c>
      <c r="AC61" s="52" t="str">
        <f>IF($B61="","",IF(AND(Z61="✔",AA61="✔",AB61="✔"),"ĐỦ ĐK KHỞI CÔNG","THIẾU ĐK"))</f>
        <v/>
      </c>
      <c r="AD61" s="51"/>
      <c r="AE61" s="52" t="str">
        <f>IF($B61="","",COUNTIFS('01_HSo TienKC'!$B:$B,$B61,'01_HSo TienKC'!$J:$J,"Đã duyệt"))</f>
        <v/>
      </c>
      <c r="AF61" s="39"/>
      <c r="AG61" s="39"/>
      <c r="AH61" s="39"/>
      <c r="AI61" s="52" t="str">
        <f>IF($B61="","",COUNTIFS('02_KH Thang_Tuan'!$B:$B,$B61,'02_KH Thang_Tuan'!$J:$J,"Đã duyệt")&amp;"/"&amp;COUNTIFS('02_KH Thang_Tuan'!$B:$B,$B61))</f>
        <v/>
      </c>
      <c r="AJ61" s="52" t="str">
        <f>IF($B61="","",COUNTIFS('03_Phat sinh'!$C:$C,$B61,'03_Phat sinh'!$M:$M,"&lt;&gt;Đã duyệt"))</f>
        <v/>
      </c>
      <c r="AK61" s="52" t="str">
        <f>IF($B61="","",COUNTIFS('04_CU dac thu'!$C:$C,$B61,'04_CU dac thu'!$N:$N,"&lt;&gt;Đã duyệt"))</f>
        <v/>
      </c>
      <c r="AL61" s="52" t="str">
        <f>IF($B61="","",COUNTIFS('05_Bu tien do'!$B:$B,$B61,'05_Bu tien do'!$N:$N,"&lt;&gt;Đã hoàn thành"))</f>
        <v/>
      </c>
      <c r="AM61" s="53"/>
      <c r="AN61" s="53"/>
      <c r="AO61" s="50"/>
      <c r="AP61" s="53"/>
      <c r="AQ61" s="53"/>
      <c r="AR61" s="50"/>
      <c r="AS61" s="53"/>
      <c r="AT61" s="53"/>
      <c r="AU61" s="50"/>
      <c r="AV61" s="53"/>
      <c r="AW61" s="53"/>
      <c r="AX61" s="50"/>
      <c r="AY61" s="53"/>
      <c r="AZ61" s="53"/>
      <c r="BA61" s="50"/>
      <c r="BB61" s="53"/>
      <c r="BC61" s="53"/>
      <c r="BD61" s="50"/>
    </row>
    <row r="62" spans="1:56" ht="25.5" customHeight="1" x14ac:dyDescent="0.2">
      <c r="A62" s="49" t="s">
        <v>222</v>
      </c>
      <c r="B62" s="49"/>
      <c r="C62" s="49" t="s">
        <v>142</v>
      </c>
      <c r="D62" s="70" t="s">
        <v>491</v>
      </c>
      <c r="E62" s="50" t="s">
        <v>196</v>
      </c>
      <c r="F62" s="49" t="s">
        <v>123</v>
      </c>
      <c r="G62" s="51">
        <v>46478</v>
      </c>
      <c r="H62" s="51">
        <v>46537</v>
      </c>
      <c r="I62" s="54"/>
      <c r="J62" s="51"/>
      <c r="K62" s="49"/>
      <c r="L62" s="49"/>
      <c r="M62" s="49"/>
      <c r="N62" s="51"/>
      <c r="O62" s="49"/>
      <c r="P62" s="51"/>
      <c r="Q62" s="49"/>
      <c r="R62" s="51"/>
      <c r="S62" s="49"/>
      <c r="T62" s="54"/>
      <c r="U62" s="55" t="str">
        <f>IF(OR(I62="",T62=""),"",T62/I62)</f>
        <v/>
      </c>
      <c r="V62" s="51"/>
      <c r="W62" s="49"/>
      <c r="X62" s="51"/>
      <c r="Y62" s="49"/>
      <c r="Z62" s="52" t="str">
        <f>IF($B62="","",IF(AND(OR(K62="Đã phát hành",K62="Hoàn thiện"),M62="Đã bàn giao"),"✔","✘"))</f>
        <v/>
      </c>
      <c r="AA62" s="52" t="str">
        <f>IF($B62="","",IF(Q62="Đã CU","✔","✘"))</f>
        <v/>
      </c>
      <c r="AB62" s="52" t="str">
        <f>IF($B62="","",IF(Y62="Đã duyệt","✔","✘"))</f>
        <v/>
      </c>
      <c r="AC62" s="52" t="str">
        <f>IF($B62="","",IF(AND(Z62="✔",AA62="✔",AB62="✔"),"ĐỦ ĐK KHỞI CÔNG","THIẾU ĐK"))</f>
        <v/>
      </c>
      <c r="AD62" s="51"/>
      <c r="AE62" s="52" t="str">
        <f>IF($B62="","",COUNTIFS('01_HSo TienKC'!$B:$B,$B62,'01_HSo TienKC'!$J:$J,"Đã duyệt"))</f>
        <v/>
      </c>
      <c r="AF62" s="39"/>
      <c r="AG62" s="39"/>
      <c r="AH62" s="39"/>
      <c r="AI62" s="52" t="str">
        <f>IF($B62="","",COUNTIFS('02_KH Thang_Tuan'!$B:$B,$B62,'02_KH Thang_Tuan'!$J:$J,"Đã duyệt")&amp;"/"&amp;COUNTIFS('02_KH Thang_Tuan'!$B:$B,$B62))</f>
        <v/>
      </c>
      <c r="AJ62" s="52" t="str">
        <f>IF($B62="","",COUNTIFS('03_Phat sinh'!$C:$C,$B62,'03_Phat sinh'!$M:$M,"&lt;&gt;Đã duyệt"))</f>
        <v/>
      </c>
      <c r="AK62" s="52" t="str">
        <f>IF($B62="","",COUNTIFS('04_CU dac thu'!$C:$C,$B62,'04_CU dac thu'!$N:$N,"&lt;&gt;Đã duyệt"))</f>
        <v/>
      </c>
      <c r="AL62" s="52" t="str">
        <f>IF($B62="","",COUNTIFS('05_Bu tien do'!$B:$B,$B62,'05_Bu tien do'!$N:$N,"&lt;&gt;Đã hoàn thành"))</f>
        <v/>
      </c>
      <c r="AM62" s="53"/>
      <c r="AN62" s="53"/>
      <c r="AO62" s="50"/>
      <c r="AP62" s="53"/>
      <c r="AQ62" s="53"/>
      <c r="AR62" s="50"/>
      <c r="AS62" s="53"/>
      <c r="AT62" s="53"/>
      <c r="AU62" s="50"/>
      <c r="AV62" s="53"/>
      <c r="AW62" s="53"/>
      <c r="AX62" s="50"/>
      <c r="AY62" s="53"/>
      <c r="AZ62" s="53"/>
      <c r="BA62" s="50"/>
      <c r="BB62" s="53"/>
      <c r="BC62" s="53"/>
      <c r="BD62" s="50"/>
    </row>
    <row r="63" spans="1:56" ht="25.5" customHeight="1" x14ac:dyDescent="0.2">
      <c r="A63" s="49" t="s">
        <v>223</v>
      </c>
      <c r="B63" s="49"/>
      <c r="C63" s="49" t="s">
        <v>142</v>
      </c>
      <c r="D63" s="70" t="s">
        <v>491</v>
      </c>
      <c r="E63" s="50" t="s">
        <v>198</v>
      </c>
      <c r="F63" s="49" t="str">
        <f>+F60</f>
        <v>HĐLCNT / Tổng thầu</v>
      </c>
      <c r="G63" s="51">
        <v>46172</v>
      </c>
      <c r="H63" s="51">
        <v>46568</v>
      </c>
      <c r="I63" s="54"/>
      <c r="J63" s="51"/>
      <c r="K63" s="49"/>
      <c r="L63" s="49"/>
      <c r="M63" s="49"/>
      <c r="N63" s="51"/>
      <c r="O63" s="49"/>
      <c r="P63" s="51"/>
      <c r="Q63" s="49"/>
      <c r="R63" s="51"/>
      <c r="S63" s="49"/>
      <c r="T63" s="54"/>
      <c r="U63" s="55"/>
      <c r="V63" s="51"/>
      <c r="W63" s="49"/>
      <c r="X63" s="51"/>
      <c r="Y63" s="49"/>
      <c r="Z63" s="52"/>
      <c r="AA63" s="52"/>
      <c r="AB63" s="52"/>
      <c r="AC63" s="52"/>
      <c r="AD63" s="51"/>
      <c r="AE63" s="52"/>
      <c r="AF63" s="39"/>
      <c r="AG63" s="39"/>
      <c r="AH63" s="39"/>
      <c r="AI63" s="52"/>
      <c r="AJ63" s="52"/>
      <c r="AK63" s="52"/>
      <c r="AL63" s="52"/>
      <c r="AM63" s="53"/>
      <c r="AN63" s="53"/>
      <c r="AO63" s="50"/>
      <c r="AP63" s="53"/>
      <c r="AQ63" s="53"/>
      <c r="AR63" s="50"/>
      <c r="AS63" s="53"/>
      <c r="AT63" s="53"/>
      <c r="AU63" s="50"/>
      <c r="AV63" s="53"/>
      <c r="AW63" s="53"/>
      <c r="AX63" s="50"/>
      <c r="AY63" s="53"/>
      <c r="AZ63" s="53"/>
      <c r="BA63" s="50"/>
      <c r="BB63" s="53"/>
      <c r="BC63" s="53"/>
      <c r="BD63" s="50"/>
    </row>
    <row r="64" spans="1:56" ht="25.5" customHeight="1" x14ac:dyDescent="0.2">
      <c r="A64" s="49" t="s">
        <v>224</v>
      </c>
      <c r="B64" s="49"/>
      <c r="C64" s="49" t="s">
        <v>142</v>
      </c>
      <c r="D64" s="70" t="s">
        <v>491</v>
      </c>
      <c r="E64" s="50" t="s">
        <v>200</v>
      </c>
      <c r="F64" s="49" t="s">
        <v>123</v>
      </c>
      <c r="G64" s="51">
        <v>46172</v>
      </c>
      <c r="H64" s="51">
        <v>46568</v>
      </c>
      <c r="I64" s="54"/>
      <c r="J64" s="51"/>
      <c r="K64" s="49"/>
      <c r="L64" s="49"/>
      <c r="M64" s="49"/>
      <c r="N64" s="51"/>
      <c r="O64" s="49"/>
      <c r="P64" s="51"/>
      <c r="Q64" s="49"/>
      <c r="R64" s="51"/>
      <c r="S64" s="49"/>
      <c r="T64" s="54"/>
      <c r="U64" s="55"/>
      <c r="V64" s="51"/>
      <c r="W64" s="49"/>
      <c r="X64" s="51"/>
      <c r="Y64" s="49"/>
      <c r="Z64" s="52"/>
      <c r="AA64" s="52"/>
      <c r="AB64" s="52"/>
      <c r="AC64" s="52"/>
      <c r="AD64" s="51"/>
      <c r="AE64" s="52"/>
      <c r="AF64" s="39"/>
      <c r="AG64" s="39"/>
      <c r="AH64" s="39"/>
      <c r="AI64" s="52"/>
      <c r="AJ64" s="52"/>
      <c r="AK64" s="52"/>
      <c r="AL64" s="52"/>
      <c r="AM64" s="53"/>
      <c r="AN64" s="53"/>
      <c r="AO64" s="50"/>
      <c r="AP64" s="53"/>
      <c r="AQ64" s="53"/>
      <c r="AR64" s="50"/>
      <c r="AS64" s="53"/>
      <c r="AT64" s="53"/>
      <c r="AU64" s="50"/>
      <c r="AV64" s="53"/>
      <c r="AW64" s="53"/>
      <c r="AX64" s="50"/>
      <c r="AY64" s="53"/>
      <c r="AZ64" s="53"/>
      <c r="BA64" s="50"/>
      <c r="BB64" s="53"/>
      <c r="BC64" s="53"/>
      <c r="BD64" s="50"/>
    </row>
    <row r="65" spans="1:56" ht="25.5" customHeight="1" x14ac:dyDescent="0.2">
      <c r="A65" s="49" t="s">
        <v>225</v>
      </c>
      <c r="B65" s="49"/>
      <c r="C65" s="49" t="s">
        <v>142</v>
      </c>
      <c r="D65" s="70" t="s">
        <v>491</v>
      </c>
      <c r="E65" s="50" t="s">
        <v>181</v>
      </c>
      <c r="F65" s="49" t="s">
        <v>123</v>
      </c>
      <c r="G65" s="51">
        <v>46508</v>
      </c>
      <c r="H65" s="51">
        <v>46537</v>
      </c>
      <c r="I65" s="54"/>
      <c r="J65" s="51"/>
      <c r="K65" s="49"/>
      <c r="L65" s="49"/>
      <c r="M65" s="49"/>
      <c r="N65" s="51"/>
      <c r="O65" s="49"/>
      <c r="P65" s="51"/>
      <c r="Q65" s="49"/>
      <c r="R65" s="51"/>
      <c r="S65" s="49"/>
      <c r="T65" s="54"/>
      <c r="U65" s="55"/>
      <c r="V65" s="51"/>
      <c r="W65" s="49"/>
      <c r="X65" s="51"/>
      <c r="Y65" s="49"/>
      <c r="Z65" s="52"/>
      <c r="AA65" s="52"/>
      <c r="AB65" s="52"/>
      <c r="AC65" s="52"/>
      <c r="AD65" s="51"/>
      <c r="AE65" s="52"/>
      <c r="AF65" s="39"/>
      <c r="AG65" s="39"/>
      <c r="AH65" s="39"/>
      <c r="AI65" s="52"/>
      <c r="AJ65" s="52"/>
      <c r="AK65" s="52"/>
      <c r="AL65" s="52"/>
      <c r="AM65" s="53"/>
      <c r="AN65" s="53"/>
      <c r="AO65" s="50"/>
      <c r="AP65" s="53"/>
      <c r="AQ65" s="53"/>
      <c r="AR65" s="50"/>
      <c r="AS65" s="53"/>
      <c r="AT65" s="53"/>
      <c r="AU65" s="50"/>
      <c r="AV65" s="53"/>
      <c r="AW65" s="53"/>
      <c r="AX65" s="50"/>
      <c r="AY65" s="53"/>
      <c r="AZ65" s="53"/>
      <c r="BA65" s="50"/>
      <c r="BB65" s="53"/>
      <c r="BC65" s="53"/>
      <c r="BD65" s="50"/>
    </row>
    <row r="66" spans="1:56" ht="25.5" customHeight="1" x14ac:dyDescent="0.2">
      <c r="A66" s="49" t="s">
        <v>226</v>
      </c>
      <c r="B66" s="49"/>
      <c r="C66" s="49" t="s">
        <v>142</v>
      </c>
      <c r="D66" s="70" t="s">
        <v>491</v>
      </c>
      <c r="E66" s="50" t="s">
        <v>157</v>
      </c>
      <c r="F66" s="49" t="s">
        <v>123</v>
      </c>
      <c r="G66" s="51">
        <v>46522</v>
      </c>
      <c r="H66" s="51">
        <v>46553</v>
      </c>
      <c r="I66" s="54"/>
      <c r="J66" s="51"/>
      <c r="K66" s="49"/>
      <c r="L66" s="49"/>
      <c r="M66" s="49"/>
      <c r="N66" s="51"/>
      <c r="O66" s="49"/>
      <c r="P66" s="51"/>
      <c r="Q66" s="49"/>
      <c r="R66" s="51"/>
      <c r="S66" s="49"/>
      <c r="T66" s="54"/>
      <c r="U66" s="55"/>
      <c r="V66" s="51"/>
      <c r="W66" s="49"/>
      <c r="X66" s="51"/>
      <c r="Y66" s="49"/>
      <c r="Z66" s="52"/>
      <c r="AA66" s="52"/>
      <c r="AB66" s="52"/>
      <c r="AC66" s="52"/>
      <c r="AD66" s="51"/>
      <c r="AE66" s="52"/>
      <c r="AF66" s="39"/>
      <c r="AG66" s="39"/>
      <c r="AH66" s="39"/>
      <c r="AI66" s="52"/>
      <c r="AJ66" s="52"/>
      <c r="AK66" s="52"/>
      <c r="AL66" s="52"/>
      <c r="AM66" s="53"/>
      <c r="AN66" s="53"/>
      <c r="AO66" s="50"/>
      <c r="AP66" s="53"/>
      <c r="AQ66" s="53"/>
      <c r="AR66" s="50"/>
      <c r="AS66" s="53"/>
      <c r="AT66" s="53"/>
      <c r="AU66" s="50"/>
      <c r="AV66" s="53"/>
      <c r="AW66" s="53"/>
      <c r="AX66" s="50"/>
      <c r="AY66" s="53"/>
      <c r="AZ66" s="53"/>
      <c r="BA66" s="50"/>
      <c r="BB66" s="53"/>
      <c r="BC66" s="53"/>
      <c r="BD66" s="50"/>
    </row>
    <row r="67" spans="1:56" ht="25.5" customHeight="1" x14ac:dyDescent="0.2">
      <c r="A67" s="49" t="s">
        <v>227</v>
      </c>
      <c r="B67" s="49"/>
      <c r="C67" s="49" t="s">
        <v>142</v>
      </c>
      <c r="D67" s="70" t="s">
        <v>491</v>
      </c>
      <c r="E67" s="50" t="s">
        <v>204</v>
      </c>
      <c r="F67" s="49" t="str">
        <f>+F63</f>
        <v>HĐLCNT / Tổng thầu</v>
      </c>
      <c r="G67" s="51">
        <v>46539</v>
      </c>
      <c r="H67" s="51">
        <v>46568</v>
      </c>
      <c r="I67" s="54"/>
      <c r="J67" s="51"/>
      <c r="K67" s="49"/>
      <c r="L67" s="49"/>
      <c r="M67" s="49"/>
      <c r="N67" s="51"/>
      <c r="O67" s="49"/>
      <c r="P67" s="51"/>
      <c r="Q67" s="49"/>
      <c r="R67" s="51"/>
      <c r="S67" s="49"/>
      <c r="T67" s="54"/>
      <c r="U67" s="55"/>
      <c r="V67" s="51"/>
      <c r="W67" s="49"/>
      <c r="X67" s="51"/>
      <c r="Y67" s="49"/>
      <c r="Z67" s="52"/>
      <c r="AA67" s="52"/>
      <c r="AB67" s="52"/>
      <c r="AC67" s="52"/>
      <c r="AD67" s="51"/>
      <c r="AE67" s="52"/>
      <c r="AF67" s="39"/>
      <c r="AG67" s="39"/>
      <c r="AH67" s="39"/>
      <c r="AI67" s="52"/>
      <c r="AJ67" s="52"/>
      <c r="AK67" s="52"/>
      <c r="AL67" s="52"/>
      <c r="AM67" s="53"/>
      <c r="AN67" s="53"/>
      <c r="AO67" s="50"/>
      <c r="AP67" s="53"/>
      <c r="AQ67" s="53"/>
      <c r="AR67" s="50"/>
      <c r="AS67" s="53"/>
      <c r="AT67" s="53"/>
      <c r="AU67" s="50"/>
      <c r="AV67" s="53"/>
      <c r="AW67" s="53"/>
      <c r="AX67" s="50"/>
      <c r="AY67" s="53"/>
      <c r="AZ67" s="53"/>
      <c r="BA67" s="50"/>
      <c r="BB67" s="53"/>
      <c r="BC67" s="53"/>
      <c r="BD67" s="50"/>
    </row>
    <row r="68" spans="1:56" ht="25.5" customHeight="1" x14ac:dyDescent="0.2">
      <c r="A68" s="69">
        <v>6</v>
      </c>
      <c r="B68" s="69">
        <v>67</v>
      </c>
      <c r="C68" s="69" t="s">
        <v>228</v>
      </c>
      <c r="D68" s="69" t="s">
        <v>134</v>
      </c>
      <c r="E68" s="70" t="s">
        <v>492</v>
      </c>
      <c r="F68" s="69"/>
      <c r="G68" s="71">
        <v>46231</v>
      </c>
      <c r="H68" s="71">
        <v>46568</v>
      </c>
      <c r="I68" s="72"/>
      <c r="J68" s="71"/>
      <c r="K68" s="69"/>
      <c r="L68" s="69"/>
      <c r="M68" s="69"/>
      <c r="N68" s="71"/>
      <c r="O68" s="69"/>
      <c r="P68" s="71"/>
      <c r="Q68" s="69"/>
      <c r="R68" s="71"/>
      <c r="S68" s="69"/>
      <c r="T68" s="72"/>
      <c r="U68" s="72" t="str">
        <f>IF(OR(I68="",T68=""),"",T68/I68)</f>
        <v/>
      </c>
      <c r="V68" s="71"/>
      <c r="W68" s="69"/>
      <c r="X68" s="71"/>
      <c r="Y68" s="69"/>
      <c r="Z68" s="69" t="str">
        <f>IF($B68="","",IF(AND(OR(K68="Đã phát hành",K68="Hoàn thiện"),M68="Đã bàn giao"),"✔","✘"))</f>
        <v>✘</v>
      </c>
      <c r="AA68" s="69" t="str">
        <f>IF($B68="","",IF(Q68="Đã CU","✔","✘"))</f>
        <v>✘</v>
      </c>
      <c r="AB68" s="69" t="str">
        <f>IF($B68="","",IF(Y68="Đã duyệt","✔","✘"))</f>
        <v>✘</v>
      </c>
      <c r="AC68" s="69" t="str">
        <f>IF($B68="","",IF(AND(Z68="✔",AA68="✔",AB68="✔"),"ĐỦ ĐK KHỞI CÔNG","THIẾU ĐK"))</f>
        <v>THIẾU ĐK</v>
      </c>
      <c r="AD68" s="71">
        <v>46174</v>
      </c>
      <c r="AE68" s="69">
        <f>IF($B68="","",COUNTIFS('01_HSo TienKC'!$B:$B,$B68,'01_HSo TienKC'!$J:$J,"Đã duyệt"))</f>
        <v>0</v>
      </c>
      <c r="AF68" s="73"/>
      <c r="AG68" s="73"/>
      <c r="AH68" s="73"/>
      <c r="AI68" s="69" t="str">
        <f>IF($B68="","",COUNTIFS('02_KH Thang_Tuan'!$B:$B,$B68,'02_KH Thang_Tuan'!$J:$J,"Đã duyệt")&amp;"/"&amp;COUNTIFS('02_KH Thang_Tuan'!$B:$B,$B68))</f>
        <v>0/0</v>
      </c>
      <c r="AJ68" s="69">
        <f>IF($B68="","",COUNTIFS('03_Phat sinh'!$C:$C,$B68,'03_Phat sinh'!$M:$M,"&lt;&gt;Đã duyệt"))</f>
        <v>0</v>
      </c>
      <c r="AK68" s="69">
        <f>IF($B68="","",COUNTIFS('04_CU dac thu'!$C:$C,$B68,'04_CU dac thu'!$N:$N,"&lt;&gt;Đã duyệt"))</f>
        <v>0</v>
      </c>
      <c r="AL68" s="69">
        <f>IF($B68="","",COUNTIFS('05_Bu tien do'!$B:$B,$B68,'05_Bu tien do'!$N:$N,"&lt;&gt;Đã hoàn thành"))</f>
        <v>0</v>
      </c>
      <c r="AM68" s="74">
        <v>0.25</v>
      </c>
      <c r="AN68" s="74">
        <v>0.22</v>
      </c>
      <c r="AO68" s="70" t="s">
        <v>137</v>
      </c>
      <c r="AP68" s="74">
        <v>0.25</v>
      </c>
      <c r="AQ68" s="74">
        <v>0.22</v>
      </c>
      <c r="AR68" s="70" t="s">
        <v>137</v>
      </c>
      <c r="AS68" s="74">
        <v>0.06</v>
      </c>
      <c r="AT68" s="74">
        <v>0.06</v>
      </c>
      <c r="AU68" s="70"/>
      <c r="AV68" s="74">
        <v>0.12</v>
      </c>
      <c r="AW68" s="74">
        <v>0.11</v>
      </c>
      <c r="AX68" s="70" t="s">
        <v>138</v>
      </c>
      <c r="AY68" s="74">
        <v>0.19</v>
      </c>
      <c r="AZ68" s="74">
        <v>0.16</v>
      </c>
      <c r="BA68" s="70" t="s">
        <v>139</v>
      </c>
      <c r="BB68" s="74">
        <v>0.25</v>
      </c>
      <c r="BC68" s="74">
        <v>0.22</v>
      </c>
      <c r="BD68" s="70" t="s">
        <v>140</v>
      </c>
    </row>
    <row r="69" spans="1:56" ht="25.5" customHeight="1" x14ac:dyDescent="0.2">
      <c r="A69" s="49" t="s">
        <v>229</v>
      </c>
      <c r="B69" s="49"/>
      <c r="C69" s="49" t="s">
        <v>142</v>
      </c>
      <c r="D69" s="70" t="s">
        <v>492</v>
      </c>
      <c r="E69" s="50" t="s">
        <v>143</v>
      </c>
      <c r="F69" s="49" t="s">
        <v>123</v>
      </c>
      <c r="G69" s="51">
        <v>46231</v>
      </c>
      <c r="H69" s="51">
        <v>46271</v>
      </c>
      <c r="I69" s="54"/>
      <c r="J69" s="51"/>
      <c r="K69" s="49"/>
      <c r="L69" s="49"/>
      <c r="M69" s="49"/>
      <c r="N69" s="51"/>
      <c r="O69" s="49"/>
      <c r="P69" s="51"/>
      <c r="Q69" s="49"/>
      <c r="R69" s="51"/>
      <c r="S69" s="49"/>
      <c r="T69" s="54"/>
      <c r="U69" s="55" t="str">
        <f>IF(OR(I69="",T69=""),"",T69/I69)</f>
        <v/>
      </c>
      <c r="V69" s="51"/>
      <c r="W69" s="49"/>
      <c r="X69" s="51"/>
      <c r="Y69" s="49"/>
      <c r="Z69" s="52" t="str">
        <f>IF($B69="","",IF(AND(OR(#REF!="Đã phát hành",#REF!="Hoàn thiện"),M69="Đã bàn giao"),"✔","✘"))</f>
        <v/>
      </c>
      <c r="AA69" s="52" t="str">
        <f>IF($B69="","",IF(Q69="Đã CU","✔","✘"))</f>
        <v/>
      </c>
      <c r="AB69" s="52" t="str">
        <f>IF($B69="","",IF(Y69="Đã duyệt","✔","✘"))</f>
        <v/>
      </c>
      <c r="AC69" s="52" t="str">
        <f>IF($B69="","",IF(AND(Z69="✔",AA69="✔",AB69="✔"),"ĐỦ ĐK KHỞI CÔNG","THIẾU ĐK"))</f>
        <v/>
      </c>
      <c r="AD69" s="51"/>
      <c r="AE69" s="52" t="str">
        <f>IF($B69="","",COUNTIFS('01_HSo TienKC'!$B:$B,$B69,'01_HSo TienKC'!$J:$J,"Đã duyệt"))</f>
        <v/>
      </c>
      <c r="AF69" s="39"/>
      <c r="AG69" s="39"/>
      <c r="AH69" s="39"/>
      <c r="AI69" s="52" t="str">
        <f>IF($B69="","",COUNTIFS('02_KH Thang_Tuan'!$B:$B,$B69,'02_KH Thang_Tuan'!$J:$J,"Đã duyệt")&amp;"/"&amp;COUNTIFS('02_KH Thang_Tuan'!$B:$B,$B69))</f>
        <v/>
      </c>
      <c r="AJ69" s="52" t="str">
        <f>IF($B69="","",COUNTIFS('03_Phat sinh'!$C:$C,$B69,'03_Phat sinh'!$M:$M,"&lt;&gt;Đã duyệt"))</f>
        <v/>
      </c>
      <c r="AK69" s="52" t="str">
        <f>IF($B69="","",COUNTIFS('04_CU dac thu'!$C:$C,$B69,'04_CU dac thu'!$N:$N,"&lt;&gt;Đã duyệt"))</f>
        <v/>
      </c>
      <c r="AL69" s="52" t="str">
        <f>IF($B69="","",COUNTIFS('05_Bu tien do'!$B:$B,$B69,'05_Bu tien do'!$N:$N,"&lt;&gt;Đã hoàn thành"))</f>
        <v/>
      </c>
      <c r="AM69" s="53"/>
      <c r="AN69" s="53"/>
      <c r="AO69" s="50"/>
      <c r="AP69" s="53"/>
      <c r="AQ69" s="53"/>
      <c r="AR69" s="50"/>
      <c r="AS69" s="53"/>
      <c r="AT69" s="53"/>
      <c r="AU69" s="50"/>
      <c r="AV69" s="53"/>
      <c r="AW69" s="53"/>
      <c r="AX69" s="50"/>
      <c r="AY69" s="53"/>
      <c r="AZ69" s="53"/>
      <c r="BA69" s="50"/>
      <c r="BB69" s="53"/>
      <c r="BC69" s="53"/>
      <c r="BD69" s="50"/>
    </row>
    <row r="70" spans="1:56" ht="25.5" customHeight="1" x14ac:dyDescent="0.2">
      <c r="A70" s="49" t="s">
        <v>230</v>
      </c>
      <c r="B70" s="49"/>
      <c r="C70" s="49" t="s">
        <v>142</v>
      </c>
      <c r="D70" s="70" t="s">
        <v>492</v>
      </c>
      <c r="E70" s="50" t="s">
        <v>189</v>
      </c>
      <c r="F70" s="49" t="s">
        <v>136</v>
      </c>
      <c r="G70" s="51">
        <v>46271</v>
      </c>
      <c r="H70" s="51">
        <v>46478</v>
      </c>
      <c r="I70" s="54"/>
      <c r="J70" s="51"/>
      <c r="K70" s="49"/>
      <c r="L70" s="49"/>
      <c r="M70" s="49"/>
      <c r="N70" s="51"/>
      <c r="O70" s="49"/>
      <c r="P70" s="51"/>
      <c r="Q70" s="49"/>
      <c r="R70" s="51"/>
      <c r="S70" s="49"/>
      <c r="T70" s="54"/>
      <c r="U70" s="55" t="str">
        <f>IF(OR(I70="",T70=""),"",T70/I70)</f>
        <v/>
      </c>
      <c r="V70" s="51"/>
      <c r="W70" s="49"/>
      <c r="X70" s="51"/>
      <c r="Y70" s="49"/>
      <c r="Z70" s="52" t="str">
        <f>IF($B70="","",IF(AND(OR(K69="Đã phát hành",K69="Hoàn thiện"),M70="Đã bàn giao"),"✔","✘"))</f>
        <v/>
      </c>
      <c r="AA70" s="52" t="str">
        <f>IF($B70="","",IF(Q70="Đã CU","✔","✘"))</f>
        <v/>
      </c>
      <c r="AB70" s="52" t="str">
        <f>IF($B70="","",IF(Y70="Đã duyệt","✔","✘"))</f>
        <v/>
      </c>
      <c r="AC70" s="52" t="str">
        <f>IF($B70="","",IF(AND(Z70="✔",AA70="✔",AB70="✔"),"ĐỦ ĐK KHỞI CÔNG","THIẾU ĐK"))</f>
        <v/>
      </c>
      <c r="AD70" s="51"/>
      <c r="AE70" s="52" t="str">
        <f>IF($B70="","",COUNTIFS('01_HSo TienKC'!$B:$B,$B70,'01_HSo TienKC'!$J:$J,"Đã duyệt"))</f>
        <v/>
      </c>
      <c r="AF70" s="39"/>
      <c r="AG70" s="39"/>
      <c r="AH70" s="39"/>
      <c r="AI70" s="52" t="str">
        <f>IF($B70="","",COUNTIFS('02_KH Thang_Tuan'!$B:$B,$B70,'02_KH Thang_Tuan'!$J:$J,"Đã duyệt")&amp;"/"&amp;COUNTIFS('02_KH Thang_Tuan'!$B:$B,$B70))</f>
        <v/>
      </c>
      <c r="AJ70" s="52" t="str">
        <f>IF($B70="","",COUNTIFS('03_Phat sinh'!$C:$C,$B70,'03_Phat sinh'!$M:$M,"&lt;&gt;Đã duyệt"))</f>
        <v/>
      </c>
      <c r="AK70" s="52" t="str">
        <f>IF($B70="","",COUNTIFS('04_CU dac thu'!$C:$C,$B70,'04_CU dac thu'!$N:$N,"&lt;&gt;Đã duyệt"))</f>
        <v/>
      </c>
      <c r="AL70" s="52" t="str">
        <f>IF($B70="","",COUNTIFS('05_Bu tien do'!$B:$B,$B70,'05_Bu tien do'!$N:$N,"&lt;&gt;Đã hoàn thành"))</f>
        <v/>
      </c>
      <c r="AM70" s="53"/>
      <c r="AN70" s="53"/>
      <c r="AO70" s="50"/>
      <c r="AP70" s="53"/>
      <c r="AQ70" s="53"/>
      <c r="AR70" s="50"/>
      <c r="AS70" s="53"/>
      <c r="AT70" s="53"/>
      <c r="AU70" s="50"/>
      <c r="AV70" s="53"/>
      <c r="AW70" s="53"/>
      <c r="AX70" s="50"/>
      <c r="AY70" s="53"/>
      <c r="AZ70" s="53"/>
      <c r="BA70" s="50"/>
      <c r="BB70" s="53"/>
      <c r="BC70" s="53"/>
      <c r="BD70" s="50"/>
    </row>
    <row r="71" spans="1:56" ht="25.5" customHeight="1" x14ac:dyDescent="0.2">
      <c r="A71" s="49" t="s">
        <v>231</v>
      </c>
      <c r="B71" s="49"/>
      <c r="C71" s="49" t="s">
        <v>142</v>
      </c>
      <c r="D71" s="70" t="s">
        <v>492</v>
      </c>
      <c r="E71" s="50" t="s">
        <v>147</v>
      </c>
      <c r="F71" s="49" t="s">
        <v>123</v>
      </c>
      <c r="G71" s="51">
        <v>46478</v>
      </c>
      <c r="H71" s="51">
        <v>46537</v>
      </c>
      <c r="I71" s="54"/>
      <c r="J71" s="51"/>
      <c r="K71" s="49"/>
      <c r="L71" s="49"/>
      <c r="M71" s="49"/>
      <c r="N71" s="51"/>
      <c r="O71" s="49"/>
      <c r="P71" s="51"/>
      <c r="Q71" s="49"/>
      <c r="R71" s="51"/>
      <c r="S71" s="49"/>
      <c r="T71" s="54"/>
      <c r="U71" s="55" t="str">
        <f>IF(OR(I71="",T71=""),"",T71/I71)</f>
        <v/>
      </c>
      <c r="V71" s="51"/>
      <c r="W71" s="49"/>
      <c r="X71" s="51"/>
      <c r="Y71" s="49"/>
      <c r="Z71" s="52" t="str">
        <f>IF($B71="","",IF(AND(OR(K71="Đã phát hành",K71="Hoàn thiện"),M71="Đã bàn giao"),"✔","✘"))</f>
        <v/>
      </c>
      <c r="AA71" s="52" t="str">
        <f>IF($B71="","",IF(Q71="Đã CU","✔","✘"))</f>
        <v/>
      </c>
      <c r="AB71" s="52" t="str">
        <f>IF($B71="","",IF(Y71="Đã duyệt","✔","✘"))</f>
        <v/>
      </c>
      <c r="AC71" s="52" t="str">
        <f>IF($B71="","",IF(AND(Z71="✔",AA71="✔",AB71="✔"),"ĐỦ ĐK KHỞI CÔNG","THIẾU ĐK"))</f>
        <v/>
      </c>
      <c r="AD71" s="51"/>
      <c r="AE71" s="52" t="str">
        <f>IF($B71="","",COUNTIFS('01_HSo TienKC'!$B:$B,$B71,'01_HSo TienKC'!$J:$J,"Đã duyệt"))</f>
        <v/>
      </c>
      <c r="AF71" s="39"/>
      <c r="AG71" s="39"/>
      <c r="AH71" s="39"/>
      <c r="AI71" s="52" t="str">
        <f>IF($B71="","",COUNTIFS('02_KH Thang_Tuan'!$B:$B,$B71,'02_KH Thang_Tuan'!$J:$J,"Đã duyệt")&amp;"/"&amp;COUNTIFS('02_KH Thang_Tuan'!$B:$B,$B71))</f>
        <v/>
      </c>
      <c r="AJ71" s="52" t="str">
        <f>IF($B71="","",COUNTIFS('03_Phat sinh'!$C:$C,$B71,'03_Phat sinh'!$M:$M,"&lt;&gt;Đã duyệt"))</f>
        <v/>
      </c>
      <c r="AK71" s="52" t="str">
        <f>IF($B71="","",COUNTIFS('04_CU dac thu'!$C:$C,$B71,'04_CU dac thu'!$N:$N,"&lt;&gt;Đã duyệt"))</f>
        <v/>
      </c>
      <c r="AL71" s="52" t="str">
        <f>IF($B71="","",COUNTIFS('05_Bu tien do'!$B:$B,$B71,'05_Bu tien do'!$N:$N,"&lt;&gt;Đã hoàn thành"))</f>
        <v/>
      </c>
      <c r="AM71" s="53"/>
      <c r="AN71" s="53"/>
      <c r="AO71" s="50"/>
      <c r="AP71" s="53"/>
      <c r="AQ71" s="53"/>
      <c r="AR71" s="50"/>
      <c r="AS71" s="53"/>
      <c r="AT71" s="53"/>
      <c r="AU71" s="50"/>
      <c r="AV71" s="53"/>
      <c r="AW71" s="53"/>
      <c r="AX71" s="50"/>
      <c r="AY71" s="53"/>
      <c r="AZ71" s="53"/>
      <c r="BA71" s="50"/>
      <c r="BB71" s="53"/>
      <c r="BC71" s="53"/>
      <c r="BD71" s="50"/>
    </row>
    <row r="72" spans="1:56" ht="25.5" customHeight="1" x14ac:dyDescent="0.2">
      <c r="A72" s="49" t="s">
        <v>232</v>
      </c>
      <c r="B72" s="49"/>
      <c r="C72" s="49" t="s">
        <v>142</v>
      </c>
      <c r="D72" s="70" t="s">
        <v>492</v>
      </c>
      <c r="E72" s="50" t="s">
        <v>196</v>
      </c>
      <c r="F72" s="49" t="s">
        <v>123</v>
      </c>
      <c r="G72" s="51">
        <v>46478</v>
      </c>
      <c r="H72" s="51">
        <v>46537</v>
      </c>
      <c r="I72" s="54"/>
      <c r="J72" s="51"/>
      <c r="K72" s="49"/>
      <c r="L72" s="49"/>
      <c r="M72" s="49"/>
      <c r="N72" s="51"/>
      <c r="O72" s="49"/>
      <c r="P72" s="51"/>
      <c r="Q72" s="49"/>
      <c r="R72" s="51"/>
      <c r="S72" s="49"/>
      <c r="T72" s="54"/>
      <c r="U72" s="55" t="str">
        <f>IF(OR(I72="",T72=""),"",T72/I72)</f>
        <v/>
      </c>
      <c r="V72" s="51"/>
      <c r="W72" s="49"/>
      <c r="X72" s="51"/>
      <c r="Y72" s="49"/>
      <c r="Z72" s="52" t="str">
        <f>IF($B72="","",IF(AND(OR(K72="Đã phát hành",K72="Hoàn thiện"),M72="Đã bàn giao"),"✔","✘"))</f>
        <v/>
      </c>
      <c r="AA72" s="52" t="str">
        <f>IF($B72="","",IF(Q72="Đã CU","✔","✘"))</f>
        <v/>
      </c>
      <c r="AB72" s="52" t="str">
        <f>IF($B72="","",IF(Y72="Đã duyệt","✔","✘"))</f>
        <v/>
      </c>
      <c r="AC72" s="52" t="str">
        <f>IF($B72="","",IF(AND(Z72="✔",AA72="✔",AB72="✔"),"ĐỦ ĐK KHỞI CÔNG","THIẾU ĐK"))</f>
        <v/>
      </c>
      <c r="AD72" s="51"/>
      <c r="AE72" s="52" t="str">
        <f>IF($B72="","",COUNTIFS('01_HSo TienKC'!$B:$B,$B72,'01_HSo TienKC'!$J:$J,"Đã duyệt"))</f>
        <v/>
      </c>
      <c r="AF72" s="39"/>
      <c r="AG72" s="39"/>
      <c r="AH72" s="39"/>
      <c r="AI72" s="52" t="str">
        <f>IF($B72="","",COUNTIFS('02_KH Thang_Tuan'!$B:$B,$B72,'02_KH Thang_Tuan'!$J:$J,"Đã duyệt")&amp;"/"&amp;COUNTIFS('02_KH Thang_Tuan'!$B:$B,$B72))</f>
        <v/>
      </c>
      <c r="AJ72" s="52" t="str">
        <f>IF($B72="","",COUNTIFS('03_Phat sinh'!$C:$C,$B72,'03_Phat sinh'!$M:$M,"&lt;&gt;Đã duyệt"))</f>
        <v/>
      </c>
      <c r="AK72" s="52" t="str">
        <f>IF($B72="","",COUNTIFS('04_CU dac thu'!$C:$C,$B72,'04_CU dac thu'!$N:$N,"&lt;&gt;Đã duyệt"))</f>
        <v/>
      </c>
      <c r="AL72" s="52" t="str">
        <f>IF($B72="","",COUNTIFS('05_Bu tien do'!$B:$B,$B72,'05_Bu tien do'!$N:$N,"&lt;&gt;Đã hoàn thành"))</f>
        <v/>
      </c>
      <c r="AM72" s="53"/>
      <c r="AN72" s="53"/>
      <c r="AO72" s="50"/>
      <c r="AP72" s="53"/>
      <c r="AQ72" s="53"/>
      <c r="AR72" s="50"/>
      <c r="AS72" s="53"/>
      <c r="AT72" s="53"/>
      <c r="AU72" s="50"/>
      <c r="AV72" s="53"/>
      <c r="AW72" s="53"/>
      <c r="AX72" s="50"/>
      <c r="AY72" s="53"/>
      <c r="AZ72" s="53"/>
      <c r="BA72" s="50"/>
      <c r="BB72" s="53"/>
      <c r="BC72" s="53"/>
      <c r="BD72" s="50"/>
    </row>
    <row r="73" spans="1:56" ht="25.5" customHeight="1" x14ac:dyDescent="0.2">
      <c r="A73" s="49" t="s">
        <v>233</v>
      </c>
      <c r="B73" s="49"/>
      <c r="C73" s="49" t="s">
        <v>142</v>
      </c>
      <c r="D73" s="70" t="s">
        <v>492</v>
      </c>
      <c r="E73" s="50" t="s">
        <v>198</v>
      </c>
      <c r="F73" s="49" t="str">
        <f>+F70</f>
        <v>HĐLCNT / Tổng thầu</v>
      </c>
      <c r="G73" s="51">
        <v>46172</v>
      </c>
      <c r="H73" s="51">
        <v>46568</v>
      </c>
      <c r="I73" s="54"/>
      <c r="J73" s="51"/>
      <c r="K73" s="49"/>
      <c r="L73" s="49"/>
      <c r="M73" s="49"/>
      <c r="N73" s="51"/>
      <c r="O73" s="49"/>
      <c r="P73" s="51"/>
      <c r="Q73" s="49"/>
      <c r="R73" s="51"/>
      <c r="S73" s="49"/>
      <c r="T73" s="54"/>
      <c r="U73" s="55"/>
      <c r="V73" s="51"/>
      <c r="W73" s="49"/>
      <c r="X73" s="51"/>
      <c r="Y73" s="49"/>
      <c r="Z73" s="52"/>
      <c r="AA73" s="52"/>
      <c r="AB73" s="52"/>
      <c r="AC73" s="52"/>
      <c r="AD73" s="51"/>
      <c r="AE73" s="52"/>
      <c r="AF73" s="39"/>
      <c r="AG73" s="39"/>
      <c r="AH73" s="39"/>
      <c r="AI73" s="52"/>
      <c r="AJ73" s="52"/>
      <c r="AK73" s="52"/>
      <c r="AL73" s="52"/>
      <c r="AM73" s="53"/>
      <c r="AN73" s="53"/>
      <c r="AO73" s="50"/>
      <c r="AP73" s="53"/>
      <c r="AQ73" s="53"/>
      <c r="AR73" s="50"/>
      <c r="AS73" s="53"/>
      <c r="AT73" s="53"/>
      <c r="AU73" s="50"/>
      <c r="AV73" s="53"/>
      <c r="AW73" s="53"/>
      <c r="AX73" s="50"/>
      <c r="AY73" s="53"/>
      <c r="AZ73" s="53"/>
      <c r="BA73" s="50"/>
      <c r="BB73" s="53"/>
      <c r="BC73" s="53"/>
      <c r="BD73" s="50"/>
    </row>
    <row r="74" spans="1:56" ht="25.5" customHeight="1" x14ac:dyDescent="0.2">
      <c r="A74" s="49" t="s">
        <v>234</v>
      </c>
      <c r="B74" s="49"/>
      <c r="C74" s="49" t="s">
        <v>142</v>
      </c>
      <c r="D74" s="70" t="s">
        <v>492</v>
      </c>
      <c r="E74" s="50" t="s">
        <v>200</v>
      </c>
      <c r="F74" s="49" t="s">
        <v>123</v>
      </c>
      <c r="G74" s="51">
        <v>46172</v>
      </c>
      <c r="H74" s="51">
        <v>46568</v>
      </c>
      <c r="I74" s="54"/>
      <c r="J74" s="51"/>
      <c r="K74" s="49"/>
      <c r="L74" s="49"/>
      <c r="M74" s="49"/>
      <c r="N74" s="51"/>
      <c r="O74" s="49"/>
      <c r="P74" s="51"/>
      <c r="Q74" s="49"/>
      <c r="R74" s="51"/>
      <c r="S74" s="49"/>
      <c r="T74" s="54"/>
      <c r="U74" s="55"/>
      <c r="V74" s="51"/>
      <c r="W74" s="49"/>
      <c r="X74" s="51"/>
      <c r="Y74" s="49"/>
      <c r="Z74" s="52"/>
      <c r="AA74" s="52"/>
      <c r="AB74" s="52"/>
      <c r="AC74" s="52"/>
      <c r="AD74" s="51"/>
      <c r="AE74" s="52"/>
      <c r="AF74" s="39"/>
      <c r="AG74" s="39"/>
      <c r="AH74" s="39"/>
      <c r="AI74" s="52"/>
      <c r="AJ74" s="52"/>
      <c r="AK74" s="52"/>
      <c r="AL74" s="52"/>
      <c r="AM74" s="53"/>
      <c r="AN74" s="53"/>
      <c r="AO74" s="50"/>
      <c r="AP74" s="53"/>
      <c r="AQ74" s="53"/>
      <c r="AR74" s="50"/>
      <c r="AS74" s="53"/>
      <c r="AT74" s="53"/>
      <c r="AU74" s="50"/>
      <c r="AV74" s="53"/>
      <c r="AW74" s="53"/>
      <c r="AX74" s="50"/>
      <c r="AY74" s="53"/>
      <c r="AZ74" s="53"/>
      <c r="BA74" s="50"/>
      <c r="BB74" s="53"/>
      <c r="BC74" s="53"/>
      <c r="BD74" s="50"/>
    </row>
    <row r="75" spans="1:56" ht="25.5" customHeight="1" x14ac:dyDescent="0.2">
      <c r="A75" s="49" t="s">
        <v>235</v>
      </c>
      <c r="B75" s="49"/>
      <c r="C75" s="49" t="s">
        <v>142</v>
      </c>
      <c r="D75" s="70" t="s">
        <v>492</v>
      </c>
      <c r="E75" s="50" t="s">
        <v>181</v>
      </c>
      <c r="F75" s="49" t="s">
        <v>123</v>
      </c>
      <c r="G75" s="51">
        <v>46508</v>
      </c>
      <c r="H75" s="51">
        <v>46537</v>
      </c>
      <c r="I75" s="54"/>
      <c r="J75" s="51"/>
      <c r="K75" s="49"/>
      <c r="L75" s="49"/>
      <c r="M75" s="49"/>
      <c r="N75" s="51"/>
      <c r="O75" s="49"/>
      <c r="P75" s="51"/>
      <c r="Q75" s="49"/>
      <c r="R75" s="51"/>
      <c r="S75" s="49"/>
      <c r="T75" s="54"/>
      <c r="U75" s="55"/>
      <c r="V75" s="51"/>
      <c r="W75" s="49"/>
      <c r="X75" s="51"/>
      <c r="Y75" s="49"/>
      <c r="Z75" s="52"/>
      <c r="AA75" s="52"/>
      <c r="AB75" s="52"/>
      <c r="AC75" s="52"/>
      <c r="AD75" s="51"/>
      <c r="AE75" s="52"/>
      <c r="AF75" s="39"/>
      <c r="AG75" s="39"/>
      <c r="AH75" s="39"/>
      <c r="AI75" s="52"/>
      <c r="AJ75" s="52"/>
      <c r="AK75" s="52"/>
      <c r="AL75" s="52"/>
      <c r="AM75" s="53"/>
      <c r="AN75" s="53"/>
      <c r="AO75" s="50"/>
      <c r="AP75" s="53"/>
      <c r="AQ75" s="53"/>
      <c r="AR75" s="50"/>
      <c r="AS75" s="53"/>
      <c r="AT75" s="53"/>
      <c r="AU75" s="50"/>
      <c r="AV75" s="53"/>
      <c r="AW75" s="53"/>
      <c r="AX75" s="50"/>
      <c r="AY75" s="53"/>
      <c r="AZ75" s="53"/>
      <c r="BA75" s="50"/>
      <c r="BB75" s="53"/>
      <c r="BC75" s="53"/>
      <c r="BD75" s="50"/>
    </row>
    <row r="76" spans="1:56" ht="25.5" customHeight="1" x14ac:dyDescent="0.2">
      <c r="A76" s="49" t="s">
        <v>236</v>
      </c>
      <c r="B76" s="49"/>
      <c r="C76" s="49" t="s">
        <v>142</v>
      </c>
      <c r="D76" s="70" t="s">
        <v>492</v>
      </c>
      <c r="E76" s="50" t="s">
        <v>157</v>
      </c>
      <c r="F76" s="49" t="s">
        <v>123</v>
      </c>
      <c r="G76" s="51">
        <v>46522</v>
      </c>
      <c r="H76" s="51">
        <v>46553</v>
      </c>
      <c r="I76" s="54"/>
      <c r="J76" s="51"/>
      <c r="K76" s="49"/>
      <c r="L76" s="49"/>
      <c r="M76" s="49"/>
      <c r="N76" s="51"/>
      <c r="O76" s="49"/>
      <c r="P76" s="51"/>
      <c r="Q76" s="49"/>
      <c r="R76" s="51"/>
      <c r="S76" s="49"/>
      <c r="T76" s="54"/>
      <c r="U76" s="55"/>
      <c r="V76" s="51"/>
      <c r="W76" s="49"/>
      <c r="X76" s="51"/>
      <c r="Y76" s="49"/>
      <c r="Z76" s="52"/>
      <c r="AA76" s="52"/>
      <c r="AB76" s="52"/>
      <c r="AC76" s="52"/>
      <c r="AD76" s="51"/>
      <c r="AE76" s="52"/>
      <c r="AF76" s="39"/>
      <c r="AG76" s="39"/>
      <c r="AH76" s="39"/>
      <c r="AI76" s="52"/>
      <c r="AJ76" s="52"/>
      <c r="AK76" s="52"/>
      <c r="AL76" s="52"/>
      <c r="AM76" s="53"/>
      <c r="AN76" s="53"/>
      <c r="AO76" s="50"/>
      <c r="AP76" s="53"/>
      <c r="AQ76" s="53"/>
      <c r="AR76" s="50"/>
      <c r="AS76" s="53"/>
      <c r="AT76" s="53"/>
      <c r="AU76" s="50"/>
      <c r="AV76" s="53"/>
      <c r="AW76" s="53"/>
      <c r="AX76" s="50"/>
      <c r="AY76" s="53"/>
      <c r="AZ76" s="53"/>
      <c r="BA76" s="50"/>
      <c r="BB76" s="53"/>
      <c r="BC76" s="53"/>
      <c r="BD76" s="50"/>
    </row>
    <row r="77" spans="1:56" ht="25.5" customHeight="1" x14ac:dyDescent="0.2">
      <c r="A77" s="49" t="s">
        <v>237</v>
      </c>
      <c r="B77" s="49"/>
      <c r="C77" s="49" t="s">
        <v>142</v>
      </c>
      <c r="D77" s="70" t="s">
        <v>492</v>
      </c>
      <c r="E77" s="50" t="s">
        <v>204</v>
      </c>
      <c r="F77" s="49" t="str">
        <f>+F73</f>
        <v>HĐLCNT / Tổng thầu</v>
      </c>
      <c r="G77" s="51">
        <v>46539</v>
      </c>
      <c r="H77" s="51">
        <v>46568</v>
      </c>
      <c r="I77" s="54"/>
      <c r="J77" s="51"/>
      <c r="K77" s="49"/>
      <c r="L77" s="49"/>
      <c r="M77" s="49"/>
      <c r="N77" s="51"/>
      <c r="O77" s="49"/>
      <c r="P77" s="51"/>
      <c r="Q77" s="49"/>
      <c r="R77" s="51"/>
      <c r="S77" s="49"/>
      <c r="T77" s="54"/>
      <c r="U77" s="55"/>
      <c r="V77" s="51"/>
      <c r="W77" s="49"/>
      <c r="X77" s="51"/>
      <c r="Y77" s="49"/>
      <c r="Z77" s="52"/>
      <c r="AA77" s="52"/>
      <c r="AB77" s="52"/>
      <c r="AC77" s="52"/>
      <c r="AD77" s="51"/>
      <c r="AE77" s="52"/>
      <c r="AF77" s="39"/>
      <c r="AG77" s="39"/>
      <c r="AH77" s="39"/>
      <c r="AI77" s="52"/>
      <c r="AJ77" s="52"/>
      <c r="AK77" s="52"/>
      <c r="AL77" s="52"/>
      <c r="AM77" s="53"/>
      <c r="AN77" s="53"/>
      <c r="AO77" s="50"/>
      <c r="AP77" s="53"/>
      <c r="AQ77" s="53"/>
      <c r="AR77" s="50"/>
      <c r="AS77" s="53"/>
      <c r="AT77" s="53"/>
      <c r="AU77" s="50"/>
      <c r="AV77" s="53"/>
      <c r="AW77" s="53"/>
      <c r="AX77" s="50"/>
      <c r="AY77" s="53"/>
      <c r="AZ77" s="53"/>
      <c r="BA77" s="50"/>
      <c r="BB77" s="53"/>
      <c r="BC77" s="53"/>
      <c r="BD77" s="50"/>
    </row>
    <row r="78" spans="1:56" ht="25.5" customHeight="1" x14ac:dyDescent="0.2">
      <c r="A78" s="69">
        <v>7</v>
      </c>
      <c r="B78" s="69">
        <v>78</v>
      </c>
      <c r="C78" s="69" t="s">
        <v>238</v>
      </c>
      <c r="D78" s="69" t="s">
        <v>134</v>
      </c>
      <c r="E78" s="70" t="s">
        <v>239</v>
      </c>
      <c r="F78" s="69"/>
      <c r="G78" s="71">
        <v>46231</v>
      </c>
      <c r="H78" s="71">
        <v>46568</v>
      </c>
      <c r="I78" s="72"/>
      <c r="J78" s="71"/>
      <c r="K78" s="69"/>
      <c r="L78" s="69"/>
      <c r="M78" s="69"/>
      <c r="N78" s="71"/>
      <c r="O78" s="69"/>
      <c r="P78" s="71"/>
      <c r="Q78" s="69"/>
      <c r="R78" s="71"/>
      <c r="S78" s="69"/>
      <c r="T78" s="72"/>
      <c r="U78" s="72" t="str">
        <f>IF(OR(I78="",T78=""),"",T78/I78)</f>
        <v/>
      </c>
      <c r="V78" s="71"/>
      <c r="W78" s="69"/>
      <c r="X78" s="71"/>
      <c r="Y78" s="69"/>
      <c r="Z78" s="69" t="str">
        <f>IF($B78="","",IF(AND(OR(K78="Đã phát hành",K78="Hoàn thiện"),M78="Đã bàn giao"),"✔","✘"))</f>
        <v>✘</v>
      </c>
      <c r="AA78" s="69" t="str">
        <f>IF($B78="","",IF(Q78="Đã CU","✔","✘"))</f>
        <v>✘</v>
      </c>
      <c r="AB78" s="69" t="str">
        <f>IF($B78="","",IF(Y78="Đã duyệt","✔","✘"))</f>
        <v>✘</v>
      </c>
      <c r="AC78" s="69" t="str">
        <f>IF($B78="","",IF(AND(Z78="✔",AA78="✔",AB78="✔"),"ĐỦ ĐK KHỞI CÔNG","THIẾU ĐK"))</f>
        <v>THIẾU ĐK</v>
      </c>
      <c r="AD78" s="71">
        <v>46174</v>
      </c>
      <c r="AE78" s="69">
        <f>IF($B78="","",COUNTIFS('01_HSo TienKC'!$B:$B,$B78,'01_HSo TienKC'!$J:$J,"Đã duyệt"))</f>
        <v>0</v>
      </c>
      <c r="AF78" s="73"/>
      <c r="AG78" s="73"/>
      <c r="AH78" s="73"/>
      <c r="AI78" s="69" t="str">
        <f>IF($B78="","",COUNTIFS('02_KH Thang_Tuan'!$B:$B,$B78,'02_KH Thang_Tuan'!$J:$J,"Đã duyệt")&amp;"/"&amp;COUNTIFS('02_KH Thang_Tuan'!$B:$B,$B78))</f>
        <v>0/0</v>
      </c>
      <c r="AJ78" s="69">
        <f>IF($B78="","",COUNTIFS('03_Phat sinh'!$C:$C,$B78,'03_Phat sinh'!$M:$M,"&lt;&gt;Đã duyệt"))</f>
        <v>0</v>
      </c>
      <c r="AK78" s="69">
        <f>IF($B78="","",COUNTIFS('04_CU dac thu'!$C:$C,$B78,'04_CU dac thu'!$N:$N,"&lt;&gt;Đã duyệt"))</f>
        <v>0</v>
      </c>
      <c r="AL78" s="69">
        <f>IF($B78="","",COUNTIFS('05_Bu tien do'!$B:$B,$B78,'05_Bu tien do'!$N:$N,"&lt;&gt;Đã hoàn thành"))</f>
        <v>0</v>
      </c>
      <c r="AM78" s="74">
        <v>0.25</v>
      </c>
      <c r="AN78" s="74">
        <v>0.22</v>
      </c>
      <c r="AO78" s="70" t="s">
        <v>137</v>
      </c>
      <c r="AP78" s="74">
        <v>0.25</v>
      </c>
      <c r="AQ78" s="74">
        <v>0.22</v>
      </c>
      <c r="AR78" s="70" t="s">
        <v>137</v>
      </c>
      <c r="AS78" s="74">
        <v>0.06</v>
      </c>
      <c r="AT78" s="74">
        <v>0.06</v>
      </c>
      <c r="AU78" s="70"/>
      <c r="AV78" s="74">
        <v>0.12</v>
      </c>
      <c r="AW78" s="74">
        <v>0.11</v>
      </c>
      <c r="AX78" s="70" t="s">
        <v>138</v>
      </c>
      <c r="AY78" s="74">
        <v>0.19</v>
      </c>
      <c r="AZ78" s="74">
        <v>0.16</v>
      </c>
      <c r="BA78" s="70" t="s">
        <v>139</v>
      </c>
      <c r="BB78" s="74">
        <v>0.25</v>
      </c>
      <c r="BC78" s="74">
        <v>0.22</v>
      </c>
      <c r="BD78" s="70" t="s">
        <v>140</v>
      </c>
    </row>
    <row r="79" spans="1:56" ht="25.5" customHeight="1" x14ac:dyDescent="0.2">
      <c r="A79" s="49" t="s">
        <v>240</v>
      </c>
      <c r="B79" s="49"/>
      <c r="C79" s="49" t="s">
        <v>142</v>
      </c>
      <c r="D79" s="70" t="s">
        <v>239</v>
      </c>
      <c r="E79" s="50" t="s">
        <v>143</v>
      </c>
      <c r="F79" s="49" t="s">
        <v>123</v>
      </c>
      <c r="G79" s="51">
        <v>46231</v>
      </c>
      <c r="H79" s="51">
        <v>46271</v>
      </c>
      <c r="I79" s="54"/>
      <c r="J79" s="51"/>
      <c r="K79" s="49"/>
      <c r="L79" s="49"/>
      <c r="M79" s="49"/>
      <c r="N79" s="51"/>
      <c r="O79" s="49"/>
      <c r="P79" s="51"/>
      <c r="Q79" s="49"/>
      <c r="R79" s="51"/>
      <c r="S79" s="49"/>
      <c r="T79" s="54"/>
      <c r="U79" s="55" t="str">
        <f>IF(OR(I79="",T79=""),"",T79/I79)</f>
        <v/>
      </c>
      <c r="V79" s="51"/>
      <c r="W79" s="49"/>
      <c r="X79" s="51"/>
      <c r="Y79" s="49"/>
      <c r="Z79" s="52" t="str">
        <f>IF($B79="","",IF(AND(OR(#REF!="Đã phát hành",#REF!="Hoàn thiện"),M79="Đã bàn giao"),"✔","✘"))</f>
        <v/>
      </c>
      <c r="AA79" s="52" t="str">
        <f>IF($B79="","",IF(Q79="Đã CU","✔","✘"))</f>
        <v/>
      </c>
      <c r="AB79" s="52" t="str">
        <f>IF($B79="","",IF(Y79="Đã duyệt","✔","✘"))</f>
        <v/>
      </c>
      <c r="AC79" s="52" t="str">
        <f>IF($B79="","",IF(AND(Z79="✔",AA79="✔",AB79="✔"),"ĐỦ ĐK KHỞI CÔNG","THIẾU ĐK"))</f>
        <v/>
      </c>
      <c r="AD79" s="51"/>
      <c r="AE79" s="52" t="str">
        <f>IF($B79="","",COUNTIFS('01_HSo TienKC'!$B:$B,$B79,'01_HSo TienKC'!$J:$J,"Đã duyệt"))</f>
        <v/>
      </c>
      <c r="AF79" s="39"/>
      <c r="AG79" s="39"/>
      <c r="AH79" s="39"/>
      <c r="AI79" s="52" t="str">
        <f>IF($B79="","",COUNTIFS('02_KH Thang_Tuan'!$B:$B,$B79,'02_KH Thang_Tuan'!$J:$J,"Đã duyệt")&amp;"/"&amp;COUNTIFS('02_KH Thang_Tuan'!$B:$B,$B79))</f>
        <v/>
      </c>
      <c r="AJ79" s="52" t="str">
        <f>IF($B79="","",COUNTIFS('03_Phat sinh'!$C:$C,$B79,'03_Phat sinh'!$M:$M,"&lt;&gt;Đã duyệt"))</f>
        <v/>
      </c>
      <c r="AK79" s="52" t="str">
        <f>IF($B79="","",COUNTIFS('04_CU dac thu'!$C:$C,$B79,'04_CU dac thu'!$N:$N,"&lt;&gt;Đã duyệt"))</f>
        <v/>
      </c>
      <c r="AL79" s="52" t="str">
        <f>IF($B79="","",COUNTIFS('05_Bu tien do'!$B:$B,$B79,'05_Bu tien do'!$N:$N,"&lt;&gt;Đã hoàn thành"))</f>
        <v/>
      </c>
      <c r="AM79" s="53"/>
      <c r="AN79" s="53"/>
      <c r="AO79" s="50"/>
      <c r="AP79" s="53"/>
      <c r="AQ79" s="53"/>
      <c r="AR79" s="50"/>
      <c r="AS79" s="53"/>
      <c r="AT79" s="53"/>
      <c r="AU79" s="50"/>
      <c r="AV79" s="53"/>
      <c r="AW79" s="53"/>
      <c r="AX79" s="50"/>
      <c r="AY79" s="53"/>
      <c r="AZ79" s="53"/>
      <c r="BA79" s="50"/>
      <c r="BB79" s="53"/>
      <c r="BC79" s="53"/>
      <c r="BD79" s="50"/>
    </row>
    <row r="80" spans="1:56" ht="25.5" customHeight="1" x14ac:dyDescent="0.2">
      <c r="A80" s="49" t="s">
        <v>241</v>
      </c>
      <c r="B80" s="49"/>
      <c r="C80" s="49" t="s">
        <v>142</v>
      </c>
      <c r="D80" s="70" t="s">
        <v>239</v>
      </c>
      <c r="E80" s="50" t="s">
        <v>189</v>
      </c>
      <c r="F80" s="49" t="s">
        <v>136</v>
      </c>
      <c r="G80" s="51">
        <v>46271</v>
      </c>
      <c r="H80" s="51">
        <v>46478</v>
      </c>
      <c r="I80" s="54"/>
      <c r="J80" s="51"/>
      <c r="K80" s="49"/>
      <c r="L80" s="49"/>
      <c r="M80" s="49"/>
      <c r="N80" s="51"/>
      <c r="O80" s="49"/>
      <c r="P80" s="51"/>
      <c r="Q80" s="49"/>
      <c r="R80" s="51"/>
      <c r="S80" s="49"/>
      <c r="T80" s="54"/>
      <c r="U80" s="55" t="str">
        <f>IF(OR(I80="",T80=""),"",T80/I80)</f>
        <v/>
      </c>
      <c r="V80" s="51"/>
      <c r="W80" s="49"/>
      <c r="X80" s="51"/>
      <c r="Y80" s="49"/>
      <c r="Z80" s="52" t="str">
        <f>IF($B80="","",IF(AND(OR(K79="Đã phát hành",K79="Hoàn thiện"),M80="Đã bàn giao"),"✔","✘"))</f>
        <v/>
      </c>
      <c r="AA80" s="52" t="str">
        <f>IF($B80="","",IF(Q80="Đã CU","✔","✘"))</f>
        <v/>
      </c>
      <c r="AB80" s="52" t="str">
        <f>IF($B80="","",IF(Y80="Đã duyệt","✔","✘"))</f>
        <v/>
      </c>
      <c r="AC80" s="52" t="str">
        <f>IF($B80="","",IF(AND(Z80="✔",AA80="✔",AB80="✔"),"ĐỦ ĐK KHỞI CÔNG","THIẾU ĐK"))</f>
        <v/>
      </c>
      <c r="AD80" s="51"/>
      <c r="AE80" s="52" t="str">
        <f>IF($B80="","",COUNTIFS('01_HSo TienKC'!$B:$B,$B80,'01_HSo TienKC'!$J:$J,"Đã duyệt"))</f>
        <v/>
      </c>
      <c r="AF80" s="39"/>
      <c r="AG80" s="39"/>
      <c r="AH80" s="39"/>
      <c r="AI80" s="52" t="str">
        <f>IF($B80="","",COUNTIFS('02_KH Thang_Tuan'!$B:$B,$B80,'02_KH Thang_Tuan'!$J:$J,"Đã duyệt")&amp;"/"&amp;COUNTIFS('02_KH Thang_Tuan'!$B:$B,$B80))</f>
        <v/>
      </c>
      <c r="AJ80" s="52" t="str">
        <f>IF($B80="","",COUNTIFS('03_Phat sinh'!$C:$C,$B80,'03_Phat sinh'!$M:$M,"&lt;&gt;Đã duyệt"))</f>
        <v/>
      </c>
      <c r="AK80" s="52" t="str">
        <f>IF($B80="","",COUNTIFS('04_CU dac thu'!$C:$C,$B80,'04_CU dac thu'!$N:$N,"&lt;&gt;Đã duyệt"))</f>
        <v/>
      </c>
      <c r="AL80" s="52" t="str">
        <f>IF($B80="","",COUNTIFS('05_Bu tien do'!$B:$B,$B80,'05_Bu tien do'!$N:$N,"&lt;&gt;Đã hoàn thành"))</f>
        <v/>
      </c>
      <c r="AM80" s="53"/>
      <c r="AN80" s="53"/>
      <c r="AO80" s="50"/>
      <c r="AP80" s="53"/>
      <c r="AQ80" s="53"/>
      <c r="AR80" s="50"/>
      <c r="AS80" s="53"/>
      <c r="AT80" s="53"/>
      <c r="AU80" s="50"/>
      <c r="AV80" s="53"/>
      <c r="AW80" s="53"/>
      <c r="AX80" s="50"/>
      <c r="AY80" s="53"/>
      <c r="AZ80" s="53"/>
      <c r="BA80" s="50"/>
      <c r="BB80" s="53"/>
      <c r="BC80" s="53"/>
      <c r="BD80" s="50"/>
    </row>
    <row r="81" spans="1:56" ht="25.5" customHeight="1" x14ac:dyDescent="0.2">
      <c r="A81" s="49" t="s">
        <v>242</v>
      </c>
      <c r="B81" s="49"/>
      <c r="C81" s="49" t="s">
        <v>142</v>
      </c>
      <c r="D81" s="70" t="s">
        <v>239</v>
      </c>
      <c r="E81" s="50" t="s">
        <v>147</v>
      </c>
      <c r="F81" s="49" t="s">
        <v>123</v>
      </c>
      <c r="G81" s="51">
        <v>46478</v>
      </c>
      <c r="H81" s="51">
        <v>46537</v>
      </c>
      <c r="I81" s="54"/>
      <c r="J81" s="51"/>
      <c r="K81" s="49"/>
      <c r="L81" s="49"/>
      <c r="M81" s="49"/>
      <c r="N81" s="51"/>
      <c r="O81" s="49"/>
      <c r="P81" s="51"/>
      <c r="Q81" s="49"/>
      <c r="R81" s="51"/>
      <c r="S81" s="49"/>
      <c r="T81" s="54"/>
      <c r="U81" s="55" t="str">
        <f>IF(OR(I81="",T81=""),"",T81/I81)</f>
        <v/>
      </c>
      <c r="V81" s="51"/>
      <c r="W81" s="49"/>
      <c r="X81" s="51"/>
      <c r="Y81" s="49"/>
      <c r="Z81" s="52" t="str">
        <f>IF($B81="","",IF(AND(OR(K81="Đã phát hành",K81="Hoàn thiện"),M81="Đã bàn giao"),"✔","✘"))</f>
        <v/>
      </c>
      <c r="AA81" s="52" t="str">
        <f>IF($B81="","",IF(Q81="Đã CU","✔","✘"))</f>
        <v/>
      </c>
      <c r="AB81" s="52" t="str">
        <f>IF($B81="","",IF(Y81="Đã duyệt","✔","✘"))</f>
        <v/>
      </c>
      <c r="AC81" s="52" t="str">
        <f>IF($B81="","",IF(AND(Z81="✔",AA81="✔",AB81="✔"),"ĐỦ ĐK KHỞI CÔNG","THIẾU ĐK"))</f>
        <v/>
      </c>
      <c r="AD81" s="51"/>
      <c r="AE81" s="52" t="str">
        <f>IF($B81="","",COUNTIFS('01_HSo TienKC'!$B:$B,$B81,'01_HSo TienKC'!$J:$J,"Đã duyệt"))</f>
        <v/>
      </c>
      <c r="AF81" s="39"/>
      <c r="AG81" s="39"/>
      <c r="AH81" s="39"/>
      <c r="AI81" s="52" t="str">
        <f>IF($B81="","",COUNTIFS('02_KH Thang_Tuan'!$B:$B,$B81,'02_KH Thang_Tuan'!$J:$J,"Đã duyệt")&amp;"/"&amp;COUNTIFS('02_KH Thang_Tuan'!$B:$B,$B81))</f>
        <v/>
      </c>
      <c r="AJ81" s="52" t="str">
        <f>IF($B81="","",COUNTIFS('03_Phat sinh'!$C:$C,$B81,'03_Phat sinh'!$M:$M,"&lt;&gt;Đã duyệt"))</f>
        <v/>
      </c>
      <c r="AK81" s="52" t="str">
        <f>IF($B81="","",COUNTIFS('04_CU dac thu'!$C:$C,$B81,'04_CU dac thu'!$N:$N,"&lt;&gt;Đã duyệt"))</f>
        <v/>
      </c>
      <c r="AL81" s="52" t="str">
        <f>IF($B81="","",COUNTIFS('05_Bu tien do'!$B:$B,$B81,'05_Bu tien do'!$N:$N,"&lt;&gt;Đã hoàn thành"))</f>
        <v/>
      </c>
      <c r="AM81" s="53"/>
      <c r="AN81" s="53"/>
      <c r="AO81" s="50"/>
      <c r="AP81" s="53"/>
      <c r="AQ81" s="53"/>
      <c r="AR81" s="50"/>
      <c r="AS81" s="53"/>
      <c r="AT81" s="53"/>
      <c r="AU81" s="50"/>
      <c r="AV81" s="53"/>
      <c r="AW81" s="53"/>
      <c r="AX81" s="50"/>
      <c r="AY81" s="53"/>
      <c r="AZ81" s="53"/>
      <c r="BA81" s="50"/>
      <c r="BB81" s="53"/>
      <c r="BC81" s="53"/>
      <c r="BD81" s="50"/>
    </row>
    <row r="82" spans="1:56" ht="25.5" customHeight="1" x14ac:dyDescent="0.2">
      <c r="A82" s="49" t="s">
        <v>243</v>
      </c>
      <c r="B82" s="49"/>
      <c r="C82" s="49" t="s">
        <v>142</v>
      </c>
      <c r="D82" s="70" t="s">
        <v>239</v>
      </c>
      <c r="E82" s="50" t="s">
        <v>196</v>
      </c>
      <c r="F82" s="49" t="s">
        <v>123</v>
      </c>
      <c r="G82" s="51">
        <v>46478</v>
      </c>
      <c r="H82" s="51">
        <v>46537</v>
      </c>
      <c r="I82" s="54"/>
      <c r="J82" s="51"/>
      <c r="K82" s="49"/>
      <c r="L82" s="49"/>
      <c r="M82" s="49"/>
      <c r="N82" s="51"/>
      <c r="O82" s="49"/>
      <c r="P82" s="51"/>
      <c r="Q82" s="49"/>
      <c r="R82" s="51"/>
      <c r="S82" s="49"/>
      <c r="T82" s="54"/>
      <c r="U82" s="55" t="str">
        <f>IF(OR(I82="",T82=""),"",T82/I82)</f>
        <v/>
      </c>
      <c r="V82" s="51"/>
      <c r="W82" s="49"/>
      <c r="X82" s="51"/>
      <c r="Y82" s="49"/>
      <c r="Z82" s="52" t="str">
        <f>IF($B82="","",IF(AND(OR(K82="Đã phát hành",K82="Hoàn thiện"),M82="Đã bàn giao"),"✔","✘"))</f>
        <v/>
      </c>
      <c r="AA82" s="52" t="str">
        <f>IF($B82="","",IF(Q82="Đã CU","✔","✘"))</f>
        <v/>
      </c>
      <c r="AB82" s="52" t="str">
        <f>IF($B82="","",IF(Y82="Đã duyệt","✔","✘"))</f>
        <v/>
      </c>
      <c r="AC82" s="52" t="str">
        <f>IF($B82="","",IF(AND(Z82="✔",AA82="✔",AB82="✔"),"ĐỦ ĐK KHỞI CÔNG","THIẾU ĐK"))</f>
        <v/>
      </c>
      <c r="AD82" s="51"/>
      <c r="AE82" s="52" t="str">
        <f>IF($B82="","",COUNTIFS('01_HSo TienKC'!$B:$B,$B82,'01_HSo TienKC'!$J:$J,"Đã duyệt"))</f>
        <v/>
      </c>
      <c r="AF82" s="39"/>
      <c r="AG82" s="39"/>
      <c r="AH82" s="39"/>
      <c r="AI82" s="52" t="str">
        <f>IF($B82="","",COUNTIFS('02_KH Thang_Tuan'!$B:$B,$B82,'02_KH Thang_Tuan'!$J:$J,"Đã duyệt")&amp;"/"&amp;COUNTIFS('02_KH Thang_Tuan'!$B:$B,$B82))</f>
        <v/>
      </c>
      <c r="AJ82" s="52" t="str">
        <f>IF($B82="","",COUNTIFS('03_Phat sinh'!$C:$C,$B82,'03_Phat sinh'!$M:$M,"&lt;&gt;Đã duyệt"))</f>
        <v/>
      </c>
      <c r="AK82" s="52" t="str">
        <f>IF($B82="","",COUNTIFS('04_CU dac thu'!$C:$C,$B82,'04_CU dac thu'!$N:$N,"&lt;&gt;Đã duyệt"))</f>
        <v/>
      </c>
      <c r="AL82" s="52" t="str">
        <f>IF($B82="","",COUNTIFS('05_Bu tien do'!$B:$B,$B82,'05_Bu tien do'!$N:$N,"&lt;&gt;Đã hoàn thành"))</f>
        <v/>
      </c>
      <c r="AM82" s="53"/>
      <c r="AN82" s="53"/>
      <c r="AO82" s="50"/>
      <c r="AP82" s="53"/>
      <c r="AQ82" s="53"/>
      <c r="AR82" s="50"/>
      <c r="AS82" s="53"/>
      <c r="AT82" s="53"/>
      <c r="AU82" s="50"/>
      <c r="AV82" s="53"/>
      <c r="AW82" s="53"/>
      <c r="AX82" s="50"/>
      <c r="AY82" s="53"/>
      <c r="AZ82" s="53"/>
      <c r="BA82" s="50"/>
      <c r="BB82" s="53"/>
      <c r="BC82" s="53"/>
      <c r="BD82" s="50"/>
    </row>
    <row r="83" spans="1:56" ht="25.5" customHeight="1" x14ac:dyDescent="0.2">
      <c r="A83" s="49" t="s">
        <v>244</v>
      </c>
      <c r="B83" s="49"/>
      <c r="C83" s="49" t="s">
        <v>142</v>
      </c>
      <c r="D83" s="70" t="s">
        <v>239</v>
      </c>
      <c r="E83" s="50" t="s">
        <v>198</v>
      </c>
      <c r="F83" s="49" t="str">
        <f>+F80</f>
        <v>HĐLCNT / Tổng thầu</v>
      </c>
      <c r="G83" s="51">
        <v>46172</v>
      </c>
      <c r="H83" s="51">
        <v>46568</v>
      </c>
      <c r="I83" s="54"/>
      <c r="J83" s="51"/>
      <c r="K83" s="49"/>
      <c r="L83" s="49"/>
      <c r="M83" s="49"/>
      <c r="N83" s="51"/>
      <c r="O83" s="49"/>
      <c r="P83" s="51"/>
      <c r="Q83" s="49"/>
      <c r="R83" s="51"/>
      <c r="S83" s="49"/>
      <c r="T83" s="54"/>
      <c r="U83" s="55"/>
      <c r="V83" s="51"/>
      <c r="W83" s="49"/>
      <c r="X83" s="51"/>
      <c r="Y83" s="49"/>
      <c r="Z83" s="52"/>
      <c r="AA83" s="52"/>
      <c r="AB83" s="52"/>
      <c r="AC83" s="52"/>
      <c r="AD83" s="51"/>
      <c r="AE83" s="52"/>
      <c r="AF83" s="39"/>
      <c r="AG83" s="39"/>
      <c r="AH83" s="39"/>
      <c r="AI83" s="52"/>
      <c r="AJ83" s="52"/>
      <c r="AK83" s="52"/>
      <c r="AL83" s="52"/>
      <c r="AM83" s="53"/>
      <c r="AN83" s="53"/>
      <c r="AO83" s="50"/>
      <c r="AP83" s="53"/>
      <c r="AQ83" s="53"/>
      <c r="AR83" s="50"/>
      <c r="AS83" s="53"/>
      <c r="AT83" s="53"/>
      <c r="AU83" s="50"/>
      <c r="AV83" s="53"/>
      <c r="AW83" s="53"/>
      <c r="AX83" s="50"/>
      <c r="AY83" s="53"/>
      <c r="AZ83" s="53"/>
      <c r="BA83" s="50"/>
      <c r="BB83" s="53"/>
      <c r="BC83" s="53"/>
      <c r="BD83" s="50"/>
    </row>
    <row r="84" spans="1:56" ht="25.5" customHeight="1" x14ac:dyDescent="0.2">
      <c r="A84" s="49" t="s">
        <v>245</v>
      </c>
      <c r="B84" s="49"/>
      <c r="C84" s="49" t="s">
        <v>142</v>
      </c>
      <c r="D84" s="70" t="s">
        <v>239</v>
      </c>
      <c r="E84" s="50" t="s">
        <v>200</v>
      </c>
      <c r="F84" s="49" t="s">
        <v>123</v>
      </c>
      <c r="G84" s="51">
        <v>46172</v>
      </c>
      <c r="H84" s="51">
        <v>46568</v>
      </c>
      <c r="I84" s="54"/>
      <c r="J84" s="51"/>
      <c r="K84" s="49"/>
      <c r="L84" s="49"/>
      <c r="M84" s="49"/>
      <c r="N84" s="51"/>
      <c r="O84" s="49"/>
      <c r="P84" s="51"/>
      <c r="Q84" s="49"/>
      <c r="R84" s="51"/>
      <c r="S84" s="49"/>
      <c r="T84" s="54"/>
      <c r="U84" s="55"/>
      <c r="V84" s="51"/>
      <c r="W84" s="49"/>
      <c r="X84" s="51"/>
      <c r="Y84" s="49"/>
      <c r="Z84" s="52"/>
      <c r="AA84" s="52"/>
      <c r="AB84" s="52"/>
      <c r="AC84" s="52"/>
      <c r="AD84" s="51"/>
      <c r="AE84" s="52"/>
      <c r="AF84" s="39"/>
      <c r="AG84" s="39"/>
      <c r="AH84" s="39"/>
      <c r="AI84" s="52"/>
      <c r="AJ84" s="52"/>
      <c r="AK84" s="52"/>
      <c r="AL84" s="52"/>
      <c r="AM84" s="53"/>
      <c r="AN84" s="53"/>
      <c r="AO84" s="50"/>
      <c r="AP84" s="53"/>
      <c r="AQ84" s="53"/>
      <c r="AR84" s="50"/>
      <c r="AS84" s="53"/>
      <c r="AT84" s="53"/>
      <c r="AU84" s="50"/>
      <c r="AV84" s="53"/>
      <c r="AW84" s="53"/>
      <c r="AX84" s="50"/>
      <c r="AY84" s="53"/>
      <c r="AZ84" s="53"/>
      <c r="BA84" s="50"/>
      <c r="BB84" s="53"/>
      <c r="BC84" s="53"/>
      <c r="BD84" s="50"/>
    </row>
    <row r="85" spans="1:56" ht="25.5" customHeight="1" x14ac:dyDescent="0.2">
      <c r="A85" s="49" t="s">
        <v>246</v>
      </c>
      <c r="B85" s="49"/>
      <c r="C85" s="49" t="s">
        <v>142</v>
      </c>
      <c r="D85" s="70" t="s">
        <v>239</v>
      </c>
      <c r="E85" s="50" t="s">
        <v>181</v>
      </c>
      <c r="F85" s="49" t="s">
        <v>123</v>
      </c>
      <c r="G85" s="51">
        <v>46508</v>
      </c>
      <c r="H85" s="51">
        <v>46537</v>
      </c>
      <c r="I85" s="54"/>
      <c r="J85" s="51"/>
      <c r="K85" s="49"/>
      <c r="L85" s="49"/>
      <c r="M85" s="49"/>
      <c r="N85" s="51"/>
      <c r="O85" s="49"/>
      <c r="P85" s="51"/>
      <c r="Q85" s="49"/>
      <c r="R85" s="51"/>
      <c r="S85" s="49"/>
      <c r="T85" s="54"/>
      <c r="U85" s="55"/>
      <c r="V85" s="51"/>
      <c r="W85" s="49"/>
      <c r="X85" s="51"/>
      <c r="Y85" s="49"/>
      <c r="Z85" s="52"/>
      <c r="AA85" s="52"/>
      <c r="AB85" s="52"/>
      <c r="AC85" s="52"/>
      <c r="AD85" s="51"/>
      <c r="AE85" s="52"/>
      <c r="AF85" s="39"/>
      <c r="AG85" s="39"/>
      <c r="AH85" s="39"/>
      <c r="AI85" s="52"/>
      <c r="AJ85" s="52"/>
      <c r="AK85" s="52"/>
      <c r="AL85" s="52"/>
      <c r="AM85" s="53"/>
      <c r="AN85" s="53"/>
      <c r="AO85" s="50"/>
      <c r="AP85" s="53"/>
      <c r="AQ85" s="53"/>
      <c r="AR85" s="50"/>
      <c r="AS85" s="53"/>
      <c r="AT85" s="53"/>
      <c r="AU85" s="50"/>
      <c r="AV85" s="53"/>
      <c r="AW85" s="53"/>
      <c r="AX85" s="50"/>
      <c r="AY85" s="53"/>
      <c r="AZ85" s="53"/>
      <c r="BA85" s="50"/>
      <c r="BB85" s="53"/>
      <c r="BC85" s="53"/>
      <c r="BD85" s="50"/>
    </row>
    <row r="86" spans="1:56" ht="25.5" customHeight="1" x14ac:dyDescent="0.2">
      <c r="A86" s="49" t="s">
        <v>247</v>
      </c>
      <c r="B86" s="49"/>
      <c r="C86" s="49" t="s">
        <v>142</v>
      </c>
      <c r="D86" s="70" t="s">
        <v>239</v>
      </c>
      <c r="E86" s="50" t="s">
        <v>157</v>
      </c>
      <c r="F86" s="49" t="s">
        <v>123</v>
      </c>
      <c r="G86" s="51">
        <v>46522</v>
      </c>
      <c r="H86" s="51">
        <v>46553</v>
      </c>
      <c r="I86" s="54"/>
      <c r="J86" s="51"/>
      <c r="K86" s="49"/>
      <c r="L86" s="49"/>
      <c r="M86" s="49"/>
      <c r="N86" s="51"/>
      <c r="O86" s="49"/>
      <c r="P86" s="51"/>
      <c r="Q86" s="49"/>
      <c r="R86" s="51"/>
      <c r="S86" s="49"/>
      <c r="T86" s="54"/>
      <c r="U86" s="55"/>
      <c r="V86" s="51"/>
      <c r="W86" s="49"/>
      <c r="X86" s="51"/>
      <c r="Y86" s="49"/>
      <c r="Z86" s="52"/>
      <c r="AA86" s="52"/>
      <c r="AB86" s="52"/>
      <c r="AC86" s="52"/>
      <c r="AD86" s="51"/>
      <c r="AE86" s="52"/>
      <c r="AF86" s="39"/>
      <c r="AG86" s="39"/>
      <c r="AH86" s="39"/>
      <c r="AI86" s="52"/>
      <c r="AJ86" s="52"/>
      <c r="AK86" s="52"/>
      <c r="AL86" s="52"/>
      <c r="AM86" s="53"/>
      <c r="AN86" s="53"/>
      <c r="AO86" s="50"/>
      <c r="AP86" s="53"/>
      <c r="AQ86" s="53"/>
      <c r="AR86" s="50"/>
      <c r="AS86" s="53"/>
      <c r="AT86" s="53"/>
      <c r="AU86" s="50"/>
      <c r="AV86" s="53"/>
      <c r="AW86" s="53"/>
      <c r="AX86" s="50"/>
      <c r="AY86" s="53"/>
      <c r="AZ86" s="53"/>
      <c r="BA86" s="50"/>
      <c r="BB86" s="53"/>
      <c r="BC86" s="53"/>
      <c r="BD86" s="50"/>
    </row>
    <row r="87" spans="1:56" ht="25.5" customHeight="1" x14ac:dyDescent="0.2">
      <c r="A87" s="49" t="s">
        <v>248</v>
      </c>
      <c r="B87" s="49"/>
      <c r="C87" s="49" t="s">
        <v>142</v>
      </c>
      <c r="D87" s="70" t="s">
        <v>239</v>
      </c>
      <c r="E87" s="50" t="s">
        <v>204</v>
      </c>
      <c r="F87" s="49" t="str">
        <f>+F83</f>
        <v>HĐLCNT / Tổng thầu</v>
      </c>
      <c r="G87" s="51">
        <v>46539</v>
      </c>
      <c r="H87" s="51">
        <v>46568</v>
      </c>
      <c r="I87" s="54"/>
      <c r="J87" s="51"/>
      <c r="K87" s="49"/>
      <c r="L87" s="49"/>
      <c r="M87" s="49"/>
      <c r="N87" s="51"/>
      <c r="O87" s="49"/>
      <c r="P87" s="51"/>
      <c r="Q87" s="49"/>
      <c r="R87" s="51"/>
      <c r="S87" s="49"/>
      <c r="T87" s="54"/>
      <c r="U87" s="55"/>
      <c r="V87" s="51"/>
      <c r="W87" s="49"/>
      <c r="X87" s="51"/>
      <c r="Y87" s="49"/>
      <c r="Z87" s="52"/>
      <c r="AA87" s="52"/>
      <c r="AB87" s="52"/>
      <c r="AC87" s="52"/>
      <c r="AD87" s="51"/>
      <c r="AE87" s="52"/>
      <c r="AF87" s="39"/>
      <c r="AG87" s="39"/>
      <c r="AH87" s="39"/>
      <c r="AI87" s="52"/>
      <c r="AJ87" s="52"/>
      <c r="AK87" s="52"/>
      <c r="AL87" s="52"/>
      <c r="AM87" s="53"/>
      <c r="AN87" s="53"/>
      <c r="AO87" s="50"/>
      <c r="AP87" s="53"/>
      <c r="AQ87" s="53"/>
      <c r="AR87" s="50"/>
      <c r="AS87" s="53"/>
      <c r="AT87" s="53"/>
      <c r="AU87" s="50"/>
      <c r="AV87" s="53"/>
      <c r="AW87" s="53"/>
      <c r="AX87" s="50"/>
      <c r="AY87" s="53"/>
      <c r="AZ87" s="53"/>
      <c r="BA87" s="50"/>
      <c r="BB87" s="53"/>
      <c r="BC87" s="53"/>
      <c r="BD87" s="50"/>
    </row>
    <row r="88" spans="1:56" ht="25.5" customHeight="1" x14ac:dyDescent="0.2">
      <c r="A88" s="69">
        <v>8</v>
      </c>
      <c r="B88" s="69">
        <v>89</v>
      </c>
      <c r="C88" s="69" t="s">
        <v>249</v>
      </c>
      <c r="D88" s="69" t="s">
        <v>134</v>
      </c>
      <c r="E88" s="70" t="s">
        <v>250</v>
      </c>
      <c r="F88" s="69"/>
      <c r="G88" s="71">
        <v>46231</v>
      </c>
      <c r="H88" s="71">
        <v>46568</v>
      </c>
      <c r="I88" s="72"/>
      <c r="J88" s="71"/>
      <c r="K88" s="69"/>
      <c r="L88" s="69"/>
      <c r="M88" s="69"/>
      <c r="N88" s="71"/>
      <c r="O88" s="69"/>
      <c r="P88" s="71"/>
      <c r="Q88" s="69"/>
      <c r="R88" s="71"/>
      <c r="S88" s="69"/>
      <c r="T88" s="72"/>
      <c r="U88" s="72" t="str">
        <f>IF(OR(I88="",T88=""),"",T88/I88)</f>
        <v/>
      </c>
      <c r="V88" s="71"/>
      <c r="W88" s="69"/>
      <c r="X88" s="71"/>
      <c r="Y88" s="69"/>
      <c r="Z88" s="69" t="str">
        <f>IF($B88="","",IF(AND(OR(K88="Đã phát hành",K88="Hoàn thiện"),M88="Đã bàn giao"),"✔","✘"))</f>
        <v>✘</v>
      </c>
      <c r="AA88" s="69" t="str">
        <f>IF($B88="","",IF(Q88="Đã CU","✔","✘"))</f>
        <v>✘</v>
      </c>
      <c r="AB88" s="69" t="str">
        <f>IF($B88="","",IF(Y88="Đã duyệt","✔","✘"))</f>
        <v>✘</v>
      </c>
      <c r="AC88" s="69" t="str">
        <f>IF($B88="","",IF(AND(Z88="✔",AA88="✔",AB88="✔"),"ĐỦ ĐK KHỞI CÔNG","THIẾU ĐK"))</f>
        <v>THIẾU ĐK</v>
      </c>
      <c r="AD88" s="71">
        <v>46174</v>
      </c>
      <c r="AE88" s="69">
        <f>IF($B88="","",COUNTIFS('01_HSo TienKC'!$B:$B,$B88,'01_HSo TienKC'!$J:$J,"Đã duyệt"))</f>
        <v>0</v>
      </c>
      <c r="AF88" s="73"/>
      <c r="AG88" s="73"/>
      <c r="AH88" s="73"/>
      <c r="AI88" s="69" t="str">
        <f>IF($B88="","",COUNTIFS('02_KH Thang_Tuan'!$B:$B,$B88,'02_KH Thang_Tuan'!$J:$J,"Đã duyệt")&amp;"/"&amp;COUNTIFS('02_KH Thang_Tuan'!$B:$B,$B88))</f>
        <v>0/0</v>
      </c>
      <c r="AJ88" s="69">
        <f>IF($B88="","",COUNTIFS('03_Phat sinh'!$C:$C,$B88,'03_Phat sinh'!$M:$M,"&lt;&gt;Đã duyệt"))</f>
        <v>0</v>
      </c>
      <c r="AK88" s="69">
        <f>IF($B88="","",COUNTIFS('04_CU dac thu'!$C:$C,$B88,'04_CU dac thu'!$N:$N,"&lt;&gt;Đã duyệt"))</f>
        <v>0</v>
      </c>
      <c r="AL88" s="69">
        <f>IF($B88="","",COUNTIFS('05_Bu tien do'!$B:$B,$B88,'05_Bu tien do'!$N:$N,"&lt;&gt;Đã hoàn thành"))</f>
        <v>0</v>
      </c>
      <c r="AM88" s="74">
        <v>0.25</v>
      </c>
      <c r="AN88" s="74">
        <v>0.22</v>
      </c>
      <c r="AO88" s="70" t="s">
        <v>137</v>
      </c>
      <c r="AP88" s="74">
        <v>0.25</v>
      </c>
      <c r="AQ88" s="74">
        <v>0.22</v>
      </c>
      <c r="AR88" s="70" t="s">
        <v>137</v>
      </c>
      <c r="AS88" s="74">
        <v>0.06</v>
      </c>
      <c r="AT88" s="74">
        <v>0.06</v>
      </c>
      <c r="AU88" s="70"/>
      <c r="AV88" s="74">
        <v>0.12</v>
      </c>
      <c r="AW88" s="74">
        <v>0.11</v>
      </c>
      <c r="AX88" s="70" t="s">
        <v>138</v>
      </c>
      <c r="AY88" s="74">
        <v>0.19</v>
      </c>
      <c r="AZ88" s="74">
        <v>0.16</v>
      </c>
      <c r="BA88" s="70" t="s">
        <v>139</v>
      </c>
      <c r="BB88" s="74">
        <v>0.25</v>
      </c>
      <c r="BC88" s="74">
        <v>0.22</v>
      </c>
      <c r="BD88" s="70" t="s">
        <v>140</v>
      </c>
    </row>
    <row r="89" spans="1:56" ht="25.5" customHeight="1" x14ac:dyDescent="0.2">
      <c r="A89" s="49" t="s">
        <v>251</v>
      </c>
      <c r="B89" s="49"/>
      <c r="C89" s="49" t="s">
        <v>142</v>
      </c>
      <c r="D89" s="70" t="s">
        <v>250</v>
      </c>
      <c r="E89" s="50" t="s">
        <v>143</v>
      </c>
      <c r="F89" s="49" t="s">
        <v>123</v>
      </c>
      <c r="G89" s="51">
        <v>46231</v>
      </c>
      <c r="H89" s="51">
        <v>46271</v>
      </c>
      <c r="I89" s="54"/>
      <c r="J89" s="51"/>
      <c r="K89" s="49"/>
      <c r="L89" s="49"/>
      <c r="M89" s="49"/>
      <c r="N89" s="51"/>
      <c r="O89" s="49"/>
      <c r="P89" s="51"/>
      <c r="Q89" s="49"/>
      <c r="R89" s="51"/>
      <c r="S89" s="49"/>
      <c r="T89" s="54"/>
      <c r="U89" s="55" t="str">
        <f>IF(OR(I89="",T89=""),"",T89/I89)</f>
        <v/>
      </c>
      <c r="V89" s="51"/>
      <c r="W89" s="49"/>
      <c r="X89" s="51"/>
      <c r="Y89" s="49"/>
      <c r="Z89" s="52" t="str">
        <f>IF($B89="","",IF(AND(OR(#REF!="Đã phát hành",#REF!="Hoàn thiện"),M89="Đã bàn giao"),"✔","✘"))</f>
        <v/>
      </c>
      <c r="AA89" s="52" t="str">
        <f>IF($B89="","",IF(Q89="Đã CU","✔","✘"))</f>
        <v/>
      </c>
      <c r="AB89" s="52" t="str">
        <f>IF($B89="","",IF(Y89="Đã duyệt","✔","✘"))</f>
        <v/>
      </c>
      <c r="AC89" s="52" t="str">
        <f>IF($B89="","",IF(AND(Z89="✔",AA89="✔",AB89="✔"),"ĐỦ ĐK KHỞI CÔNG","THIẾU ĐK"))</f>
        <v/>
      </c>
      <c r="AD89" s="51"/>
      <c r="AE89" s="52" t="str">
        <f>IF($B89="","",COUNTIFS('01_HSo TienKC'!$B:$B,$B89,'01_HSo TienKC'!$J:$J,"Đã duyệt"))</f>
        <v/>
      </c>
      <c r="AF89" s="39"/>
      <c r="AG89" s="39"/>
      <c r="AH89" s="39"/>
      <c r="AI89" s="52" t="str">
        <f>IF($B89="","",COUNTIFS('02_KH Thang_Tuan'!$B:$B,$B89,'02_KH Thang_Tuan'!$J:$J,"Đã duyệt")&amp;"/"&amp;COUNTIFS('02_KH Thang_Tuan'!$B:$B,$B89))</f>
        <v/>
      </c>
      <c r="AJ89" s="52" t="str">
        <f>IF($B89="","",COUNTIFS('03_Phat sinh'!$C:$C,$B89,'03_Phat sinh'!$M:$M,"&lt;&gt;Đã duyệt"))</f>
        <v/>
      </c>
      <c r="AK89" s="52" t="str">
        <f>IF($B89="","",COUNTIFS('04_CU dac thu'!$C:$C,$B89,'04_CU dac thu'!$N:$N,"&lt;&gt;Đã duyệt"))</f>
        <v/>
      </c>
      <c r="AL89" s="52" t="str">
        <f>IF($B89="","",COUNTIFS('05_Bu tien do'!$B:$B,$B89,'05_Bu tien do'!$N:$N,"&lt;&gt;Đã hoàn thành"))</f>
        <v/>
      </c>
      <c r="AM89" s="53"/>
      <c r="AN89" s="53"/>
      <c r="AO89" s="50"/>
      <c r="AP89" s="53"/>
      <c r="AQ89" s="53"/>
      <c r="AR89" s="50"/>
      <c r="AS89" s="53"/>
      <c r="AT89" s="53"/>
      <c r="AU89" s="50"/>
      <c r="AV89" s="53"/>
      <c r="AW89" s="53"/>
      <c r="AX89" s="50"/>
      <c r="AY89" s="53"/>
      <c r="AZ89" s="53"/>
      <c r="BA89" s="50"/>
      <c r="BB89" s="53"/>
      <c r="BC89" s="53"/>
      <c r="BD89" s="50"/>
    </row>
    <row r="90" spans="1:56" ht="25.5" customHeight="1" x14ac:dyDescent="0.2">
      <c r="A90" s="49" t="s">
        <v>252</v>
      </c>
      <c r="B90" s="49"/>
      <c r="C90" s="49" t="s">
        <v>142</v>
      </c>
      <c r="D90" s="70" t="s">
        <v>250</v>
      </c>
      <c r="E90" s="50" t="s">
        <v>189</v>
      </c>
      <c r="F90" s="49" t="s">
        <v>136</v>
      </c>
      <c r="G90" s="51">
        <v>46271</v>
      </c>
      <c r="H90" s="51">
        <v>46478</v>
      </c>
      <c r="I90" s="54"/>
      <c r="J90" s="51"/>
      <c r="K90" s="49"/>
      <c r="L90" s="49"/>
      <c r="M90" s="49"/>
      <c r="N90" s="51"/>
      <c r="O90" s="49"/>
      <c r="P90" s="51"/>
      <c r="Q90" s="49"/>
      <c r="R90" s="51"/>
      <c r="S90" s="49"/>
      <c r="T90" s="54"/>
      <c r="U90" s="55" t="str">
        <f>IF(OR(I90="",T90=""),"",T90/I90)</f>
        <v/>
      </c>
      <c r="V90" s="51"/>
      <c r="W90" s="49"/>
      <c r="X90" s="51"/>
      <c r="Y90" s="49"/>
      <c r="Z90" s="52" t="str">
        <f>IF($B90="","",IF(AND(OR(K89="Đã phát hành",K89="Hoàn thiện"),M90="Đã bàn giao"),"✔","✘"))</f>
        <v/>
      </c>
      <c r="AA90" s="52" t="str">
        <f>IF($B90="","",IF(Q90="Đã CU","✔","✘"))</f>
        <v/>
      </c>
      <c r="AB90" s="52" t="str">
        <f>IF($B90="","",IF(Y90="Đã duyệt","✔","✘"))</f>
        <v/>
      </c>
      <c r="AC90" s="52" t="str">
        <f>IF($B90="","",IF(AND(Z90="✔",AA90="✔",AB90="✔"),"ĐỦ ĐK KHỞI CÔNG","THIẾU ĐK"))</f>
        <v/>
      </c>
      <c r="AD90" s="51"/>
      <c r="AE90" s="52" t="str">
        <f>IF($B90="","",COUNTIFS('01_HSo TienKC'!$B:$B,$B90,'01_HSo TienKC'!$J:$J,"Đã duyệt"))</f>
        <v/>
      </c>
      <c r="AF90" s="39"/>
      <c r="AG90" s="39"/>
      <c r="AH90" s="39"/>
      <c r="AI90" s="52" t="str">
        <f>IF($B90="","",COUNTIFS('02_KH Thang_Tuan'!$B:$B,$B90,'02_KH Thang_Tuan'!$J:$J,"Đã duyệt")&amp;"/"&amp;COUNTIFS('02_KH Thang_Tuan'!$B:$B,$B90))</f>
        <v/>
      </c>
      <c r="AJ90" s="52" t="str">
        <f>IF($B90="","",COUNTIFS('03_Phat sinh'!$C:$C,$B90,'03_Phat sinh'!$M:$M,"&lt;&gt;Đã duyệt"))</f>
        <v/>
      </c>
      <c r="AK90" s="52" t="str">
        <f>IF($B90="","",COUNTIFS('04_CU dac thu'!$C:$C,$B90,'04_CU dac thu'!$N:$N,"&lt;&gt;Đã duyệt"))</f>
        <v/>
      </c>
      <c r="AL90" s="52" t="str">
        <f>IF($B90="","",COUNTIFS('05_Bu tien do'!$B:$B,$B90,'05_Bu tien do'!$N:$N,"&lt;&gt;Đã hoàn thành"))</f>
        <v/>
      </c>
      <c r="AM90" s="53"/>
      <c r="AN90" s="53"/>
      <c r="AO90" s="50"/>
      <c r="AP90" s="53"/>
      <c r="AQ90" s="53"/>
      <c r="AR90" s="50"/>
      <c r="AS90" s="53"/>
      <c r="AT90" s="53"/>
      <c r="AU90" s="50"/>
      <c r="AV90" s="53"/>
      <c r="AW90" s="53"/>
      <c r="AX90" s="50"/>
      <c r="AY90" s="53"/>
      <c r="AZ90" s="53"/>
      <c r="BA90" s="50"/>
      <c r="BB90" s="53"/>
      <c r="BC90" s="53"/>
      <c r="BD90" s="50"/>
    </row>
    <row r="91" spans="1:56" ht="25.5" customHeight="1" x14ac:dyDescent="0.2">
      <c r="A91" s="49" t="s">
        <v>253</v>
      </c>
      <c r="B91" s="49"/>
      <c r="C91" s="49" t="s">
        <v>142</v>
      </c>
      <c r="D91" s="70" t="s">
        <v>250</v>
      </c>
      <c r="E91" s="50" t="s">
        <v>147</v>
      </c>
      <c r="F91" s="49" t="s">
        <v>123</v>
      </c>
      <c r="G91" s="51">
        <v>46478</v>
      </c>
      <c r="H91" s="51">
        <v>46537</v>
      </c>
      <c r="I91" s="54"/>
      <c r="J91" s="51"/>
      <c r="K91" s="49"/>
      <c r="L91" s="49"/>
      <c r="M91" s="49"/>
      <c r="N91" s="51"/>
      <c r="O91" s="49"/>
      <c r="P91" s="51"/>
      <c r="Q91" s="49"/>
      <c r="R91" s="51"/>
      <c r="S91" s="49"/>
      <c r="T91" s="54"/>
      <c r="U91" s="55" t="str">
        <f>IF(OR(I91="",T91=""),"",T91/I91)</f>
        <v/>
      </c>
      <c r="V91" s="51"/>
      <c r="W91" s="49"/>
      <c r="X91" s="51"/>
      <c r="Y91" s="49"/>
      <c r="Z91" s="52" t="str">
        <f>IF($B91="","",IF(AND(OR(K91="Đã phát hành",K91="Hoàn thiện"),M91="Đã bàn giao"),"✔","✘"))</f>
        <v/>
      </c>
      <c r="AA91" s="52" t="str">
        <f>IF($B91="","",IF(Q91="Đã CU","✔","✘"))</f>
        <v/>
      </c>
      <c r="AB91" s="52" t="str">
        <f>IF($B91="","",IF(Y91="Đã duyệt","✔","✘"))</f>
        <v/>
      </c>
      <c r="AC91" s="52" t="str">
        <f>IF($B91="","",IF(AND(Z91="✔",AA91="✔",AB91="✔"),"ĐỦ ĐK KHỞI CÔNG","THIẾU ĐK"))</f>
        <v/>
      </c>
      <c r="AD91" s="51"/>
      <c r="AE91" s="52" t="str">
        <f>IF($B91="","",COUNTIFS('01_HSo TienKC'!$B:$B,$B91,'01_HSo TienKC'!$J:$J,"Đã duyệt"))</f>
        <v/>
      </c>
      <c r="AF91" s="39"/>
      <c r="AG91" s="39"/>
      <c r="AH91" s="39"/>
      <c r="AI91" s="52" t="str">
        <f>IF($B91="","",COUNTIFS('02_KH Thang_Tuan'!$B:$B,$B91,'02_KH Thang_Tuan'!$J:$J,"Đã duyệt")&amp;"/"&amp;COUNTIFS('02_KH Thang_Tuan'!$B:$B,$B91))</f>
        <v/>
      </c>
      <c r="AJ91" s="52" t="str">
        <f>IF($B91="","",COUNTIFS('03_Phat sinh'!$C:$C,$B91,'03_Phat sinh'!$M:$M,"&lt;&gt;Đã duyệt"))</f>
        <v/>
      </c>
      <c r="AK91" s="52" t="str">
        <f>IF($B91="","",COUNTIFS('04_CU dac thu'!$C:$C,$B91,'04_CU dac thu'!$N:$N,"&lt;&gt;Đã duyệt"))</f>
        <v/>
      </c>
      <c r="AL91" s="52" t="str">
        <f>IF($B91="","",COUNTIFS('05_Bu tien do'!$B:$B,$B91,'05_Bu tien do'!$N:$N,"&lt;&gt;Đã hoàn thành"))</f>
        <v/>
      </c>
      <c r="AM91" s="53"/>
      <c r="AN91" s="53"/>
      <c r="AO91" s="50"/>
      <c r="AP91" s="53"/>
      <c r="AQ91" s="53"/>
      <c r="AR91" s="50"/>
      <c r="AS91" s="53"/>
      <c r="AT91" s="53"/>
      <c r="AU91" s="50"/>
      <c r="AV91" s="53"/>
      <c r="AW91" s="53"/>
      <c r="AX91" s="50"/>
      <c r="AY91" s="53"/>
      <c r="AZ91" s="53"/>
      <c r="BA91" s="50"/>
      <c r="BB91" s="53"/>
      <c r="BC91" s="53"/>
      <c r="BD91" s="50"/>
    </row>
    <row r="92" spans="1:56" ht="25.5" customHeight="1" x14ac:dyDescent="0.2">
      <c r="A92" s="49" t="s">
        <v>254</v>
      </c>
      <c r="B92" s="49"/>
      <c r="C92" s="49" t="s">
        <v>142</v>
      </c>
      <c r="D92" s="70" t="s">
        <v>250</v>
      </c>
      <c r="E92" s="50" t="s">
        <v>196</v>
      </c>
      <c r="F92" s="49" t="s">
        <v>123</v>
      </c>
      <c r="G92" s="51">
        <v>46478</v>
      </c>
      <c r="H92" s="51">
        <v>46537</v>
      </c>
      <c r="I92" s="54"/>
      <c r="J92" s="51"/>
      <c r="K92" s="49"/>
      <c r="L92" s="49"/>
      <c r="M92" s="49"/>
      <c r="N92" s="51"/>
      <c r="O92" s="49"/>
      <c r="P92" s="51"/>
      <c r="Q92" s="49"/>
      <c r="R92" s="51"/>
      <c r="S92" s="49"/>
      <c r="T92" s="54"/>
      <c r="U92" s="55" t="str">
        <f>IF(OR(I92="",T92=""),"",T92/I92)</f>
        <v/>
      </c>
      <c r="V92" s="51"/>
      <c r="W92" s="49"/>
      <c r="X92" s="51"/>
      <c r="Y92" s="49"/>
      <c r="Z92" s="52" t="str">
        <f>IF($B92="","",IF(AND(OR(K92="Đã phát hành",K92="Hoàn thiện"),M92="Đã bàn giao"),"✔","✘"))</f>
        <v/>
      </c>
      <c r="AA92" s="52" t="str">
        <f>IF($B92="","",IF(Q92="Đã CU","✔","✘"))</f>
        <v/>
      </c>
      <c r="AB92" s="52" t="str">
        <f>IF($B92="","",IF(Y92="Đã duyệt","✔","✘"))</f>
        <v/>
      </c>
      <c r="AC92" s="52" t="str">
        <f>IF($B92="","",IF(AND(Z92="✔",AA92="✔",AB92="✔"),"ĐỦ ĐK KHỞI CÔNG","THIẾU ĐK"))</f>
        <v/>
      </c>
      <c r="AD92" s="51"/>
      <c r="AE92" s="52" t="str">
        <f>IF($B92="","",COUNTIFS('01_HSo TienKC'!$B:$B,$B92,'01_HSo TienKC'!$J:$J,"Đã duyệt"))</f>
        <v/>
      </c>
      <c r="AF92" s="39"/>
      <c r="AG92" s="39"/>
      <c r="AH92" s="39"/>
      <c r="AI92" s="52" t="str">
        <f>IF($B92="","",COUNTIFS('02_KH Thang_Tuan'!$B:$B,$B92,'02_KH Thang_Tuan'!$J:$J,"Đã duyệt")&amp;"/"&amp;COUNTIFS('02_KH Thang_Tuan'!$B:$B,$B92))</f>
        <v/>
      </c>
      <c r="AJ92" s="52" t="str">
        <f>IF($B92="","",COUNTIFS('03_Phat sinh'!$C:$C,$B92,'03_Phat sinh'!$M:$M,"&lt;&gt;Đã duyệt"))</f>
        <v/>
      </c>
      <c r="AK92" s="52" t="str">
        <f>IF($B92="","",COUNTIFS('04_CU dac thu'!$C:$C,$B92,'04_CU dac thu'!$N:$N,"&lt;&gt;Đã duyệt"))</f>
        <v/>
      </c>
      <c r="AL92" s="52" t="str">
        <f>IF($B92="","",COUNTIFS('05_Bu tien do'!$B:$B,$B92,'05_Bu tien do'!$N:$N,"&lt;&gt;Đã hoàn thành"))</f>
        <v/>
      </c>
      <c r="AM92" s="53"/>
      <c r="AN92" s="53"/>
      <c r="AO92" s="50"/>
      <c r="AP92" s="53"/>
      <c r="AQ92" s="53"/>
      <c r="AR92" s="50"/>
      <c r="AS92" s="53"/>
      <c r="AT92" s="53"/>
      <c r="AU92" s="50"/>
      <c r="AV92" s="53"/>
      <c r="AW92" s="53"/>
      <c r="AX92" s="50"/>
      <c r="AY92" s="53"/>
      <c r="AZ92" s="53"/>
      <c r="BA92" s="50"/>
      <c r="BB92" s="53"/>
      <c r="BC92" s="53"/>
      <c r="BD92" s="50"/>
    </row>
    <row r="93" spans="1:56" ht="25.5" customHeight="1" x14ac:dyDescent="0.2">
      <c r="A93" s="49" t="s">
        <v>255</v>
      </c>
      <c r="B93" s="49"/>
      <c r="C93" s="49" t="s">
        <v>142</v>
      </c>
      <c r="D93" s="70" t="s">
        <v>250</v>
      </c>
      <c r="E93" s="50" t="s">
        <v>198</v>
      </c>
      <c r="F93" s="49" t="str">
        <f>+F90</f>
        <v>HĐLCNT / Tổng thầu</v>
      </c>
      <c r="G93" s="51">
        <v>46172</v>
      </c>
      <c r="H93" s="51">
        <v>46568</v>
      </c>
      <c r="I93" s="54"/>
      <c r="J93" s="51"/>
      <c r="K93" s="49"/>
      <c r="L93" s="49"/>
      <c r="M93" s="49"/>
      <c r="N93" s="51"/>
      <c r="O93" s="49"/>
      <c r="P93" s="51"/>
      <c r="Q93" s="49"/>
      <c r="R93" s="51"/>
      <c r="S93" s="49"/>
      <c r="T93" s="54"/>
      <c r="U93" s="55"/>
      <c r="V93" s="51"/>
      <c r="W93" s="49"/>
      <c r="X93" s="51"/>
      <c r="Y93" s="49"/>
      <c r="Z93" s="52"/>
      <c r="AA93" s="52"/>
      <c r="AB93" s="52"/>
      <c r="AC93" s="52"/>
      <c r="AD93" s="51"/>
      <c r="AE93" s="52"/>
      <c r="AF93" s="39"/>
      <c r="AG93" s="39"/>
      <c r="AH93" s="39"/>
      <c r="AI93" s="52"/>
      <c r="AJ93" s="52"/>
      <c r="AK93" s="52"/>
      <c r="AL93" s="52"/>
      <c r="AM93" s="53"/>
      <c r="AN93" s="53"/>
      <c r="AO93" s="50"/>
      <c r="AP93" s="53"/>
      <c r="AQ93" s="53"/>
      <c r="AR93" s="50"/>
      <c r="AS93" s="53"/>
      <c r="AT93" s="53"/>
      <c r="AU93" s="50"/>
      <c r="AV93" s="53"/>
      <c r="AW93" s="53"/>
      <c r="AX93" s="50"/>
      <c r="AY93" s="53"/>
      <c r="AZ93" s="53"/>
      <c r="BA93" s="50"/>
      <c r="BB93" s="53"/>
      <c r="BC93" s="53"/>
      <c r="BD93" s="50"/>
    </row>
    <row r="94" spans="1:56" ht="25.5" customHeight="1" x14ac:dyDescent="0.2">
      <c r="A94" s="49" t="s">
        <v>256</v>
      </c>
      <c r="B94" s="49"/>
      <c r="C94" s="49" t="s">
        <v>142</v>
      </c>
      <c r="D94" s="70" t="s">
        <v>250</v>
      </c>
      <c r="E94" s="50" t="s">
        <v>200</v>
      </c>
      <c r="F94" s="49" t="s">
        <v>123</v>
      </c>
      <c r="G94" s="51">
        <v>46172</v>
      </c>
      <c r="H94" s="51">
        <v>46568</v>
      </c>
      <c r="I94" s="54"/>
      <c r="J94" s="51"/>
      <c r="K94" s="49"/>
      <c r="L94" s="49"/>
      <c r="M94" s="49"/>
      <c r="N94" s="51"/>
      <c r="O94" s="49"/>
      <c r="P94" s="51"/>
      <c r="Q94" s="49"/>
      <c r="R94" s="51"/>
      <c r="S94" s="49"/>
      <c r="T94" s="54"/>
      <c r="U94" s="55"/>
      <c r="V94" s="51"/>
      <c r="W94" s="49"/>
      <c r="X94" s="51"/>
      <c r="Y94" s="49"/>
      <c r="Z94" s="52"/>
      <c r="AA94" s="52"/>
      <c r="AB94" s="52"/>
      <c r="AC94" s="52"/>
      <c r="AD94" s="51"/>
      <c r="AE94" s="52"/>
      <c r="AF94" s="39"/>
      <c r="AG94" s="39"/>
      <c r="AH94" s="39"/>
      <c r="AI94" s="52"/>
      <c r="AJ94" s="52"/>
      <c r="AK94" s="52"/>
      <c r="AL94" s="52"/>
      <c r="AM94" s="53"/>
      <c r="AN94" s="53"/>
      <c r="AO94" s="50"/>
      <c r="AP94" s="53"/>
      <c r="AQ94" s="53"/>
      <c r="AR94" s="50"/>
      <c r="AS94" s="53"/>
      <c r="AT94" s="53"/>
      <c r="AU94" s="50"/>
      <c r="AV94" s="53"/>
      <c r="AW94" s="53"/>
      <c r="AX94" s="50"/>
      <c r="AY94" s="53"/>
      <c r="AZ94" s="53"/>
      <c r="BA94" s="50"/>
      <c r="BB94" s="53"/>
      <c r="BC94" s="53"/>
      <c r="BD94" s="50"/>
    </row>
    <row r="95" spans="1:56" ht="25.5" customHeight="1" x14ac:dyDescent="0.2">
      <c r="A95" s="49" t="s">
        <v>257</v>
      </c>
      <c r="B95" s="49"/>
      <c r="C95" s="49" t="s">
        <v>142</v>
      </c>
      <c r="D95" s="70" t="s">
        <v>250</v>
      </c>
      <c r="E95" s="50" t="s">
        <v>181</v>
      </c>
      <c r="F95" s="49" t="s">
        <v>123</v>
      </c>
      <c r="G95" s="51">
        <v>46508</v>
      </c>
      <c r="H95" s="51">
        <v>46537</v>
      </c>
      <c r="I95" s="54"/>
      <c r="J95" s="51"/>
      <c r="K95" s="49"/>
      <c r="L95" s="49"/>
      <c r="M95" s="49"/>
      <c r="N95" s="51"/>
      <c r="O95" s="49"/>
      <c r="P95" s="51"/>
      <c r="Q95" s="49"/>
      <c r="R95" s="51"/>
      <c r="S95" s="49"/>
      <c r="T95" s="54"/>
      <c r="U95" s="55"/>
      <c r="V95" s="51"/>
      <c r="W95" s="49"/>
      <c r="X95" s="51"/>
      <c r="Y95" s="49"/>
      <c r="Z95" s="52"/>
      <c r="AA95" s="52"/>
      <c r="AB95" s="52"/>
      <c r="AC95" s="52"/>
      <c r="AD95" s="51"/>
      <c r="AE95" s="52"/>
      <c r="AF95" s="39"/>
      <c r="AG95" s="39"/>
      <c r="AH95" s="39"/>
      <c r="AI95" s="52"/>
      <c r="AJ95" s="52"/>
      <c r="AK95" s="52"/>
      <c r="AL95" s="52"/>
      <c r="AM95" s="53"/>
      <c r="AN95" s="53"/>
      <c r="AO95" s="50"/>
      <c r="AP95" s="53"/>
      <c r="AQ95" s="53"/>
      <c r="AR95" s="50"/>
      <c r="AS95" s="53"/>
      <c r="AT95" s="53"/>
      <c r="AU95" s="50"/>
      <c r="AV95" s="53"/>
      <c r="AW95" s="53"/>
      <c r="AX95" s="50"/>
      <c r="AY95" s="53"/>
      <c r="AZ95" s="53"/>
      <c r="BA95" s="50"/>
      <c r="BB95" s="53"/>
      <c r="BC95" s="53"/>
      <c r="BD95" s="50"/>
    </row>
    <row r="96" spans="1:56" ht="25.5" customHeight="1" x14ac:dyDescent="0.2">
      <c r="A96" s="49" t="s">
        <v>258</v>
      </c>
      <c r="B96" s="49"/>
      <c r="C96" s="49" t="s">
        <v>142</v>
      </c>
      <c r="D96" s="70" t="s">
        <v>250</v>
      </c>
      <c r="E96" s="50" t="s">
        <v>157</v>
      </c>
      <c r="F96" s="49" t="s">
        <v>123</v>
      </c>
      <c r="G96" s="51">
        <v>46522</v>
      </c>
      <c r="H96" s="51">
        <v>46553</v>
      </c>
      <c r="I96" s="54"/>
      <c r="J96" s="51"/>
      <c r="K96" s="49"/>
      <c r="L96" s="49"/>
      <c r="M96" s="49"/>
      <c r="N96" s="51"/>
      <c r="O96" s="49"/>
      <c r="P96" s="51"/>
      <c r="Q96" s="49"/>
      <c r="R96" s="51"/>
      <c r="S96" s="49"/>
      <c r="T96" s="54"/>
      <c r="U96" s="55"/>
      <c r="V96" s="51"/>
      <c r="W96" s="49"/>
      <c r="X96" s="51"/>
      <c r="Y96" s="49"/>
      <c r="Z96" s="52"/>
      <c r="AA96" s="52"/>
      <c r="AB96" s="52"/>
      <c r="AC96" s="52"/>
      <c r="AD96" s="51"/>
      <c r="AE96" s="52"/>
      <c r="AF96" s="39"/>
      <c r="AG96" s="39"/>
      <c r="AH96" s="39"/>
      <c r="AI96" s="52"/>
      <c r="AJ96" s="52"/>
      <c r="AK96" s="52"/>
      <c r="AL96" s="52"/>
      <c r="AM96" s="53"/>
      <c r="AN96" s="53"/>
      <c r="AO96" s="50"/>
      <c r="AP96" s="53"/>
      <c r="AQ96" s="53"/>
      <c r="AR96" s="50"/>
      <c r="AS96" s="53"/>
      <c r="AT96" s="53"/>
      <c r="AU96" s="50"/>
      <c r="AV96" s="53"/>
      <c r="AW96" s="53"/>
      <c r="AX96" s="50"/>
      <c r="AY96" s="53"/>
      <c r="AZ96" s="53"/>
      <c r="BA96" s="50"/>
      <c r="BB96" s="53"/>
      <c r="BC96" s="53"/>
      <c r="BD96" s="50"/>
    </row>
    <row r="97" spans="1:56" ht="25.5" customHeight="1" x14ac:dyDescent="0.2">
      <c r="A97" s="49" t="s">
        <v>259</v>
      </c>
      <c r="B97" s="49"/>
      <c r="C97" s="49" t="s">
        <v>142</v>
      </c>
      <c r="D97" s="70" t="s">
        <v>250</v>
      </c>
      <c r="E97" s="50" t="s">
        <v>204</v>
      </c>
      <c r="F97" s="49" t="str">
        <f>+F93</f>
        <v>HĐLCNT / Tổng thầu</v>
      </c>
      <c r="G97" s="51">
        <v>46539</v>
      </c>
      <c r="H97" s="51">
        <v>46568</v>
      </c>
      <c r="I97" s="54"/>
      <c r="J97" s="51"/>
      <c r="K97" s="49"/>
      <c r="L97" s="49"/>
      <c r="M97" s="49"/>
      <c r="N97" s="51"/>
      <c r="O97" s="49"/>
      <c r="P97" s="51"/>
      <c r="Q97" s="49"/>
      <c r="R97" s="51"/>
      <c r="S97" s="49"/>
      <c r="T97" s="54"/>
      <c r="U97" s="55"/>
      <c r="V97" s="51"/>
      <c r="W97" s="49"/>
      <c r="X97" s="51"/>
      <c r="Y97" s="49"/>
      <c r="Z97" s="52"/>
      <c r="AA97" s="52"/>
      <c r="AB97" s="52"/>
      <c r="AC97" s="52"/>
      <c r="AD97" s="51"/>
      <c r="AE97" s="52"/>
      <c r="AF97" s="39"/>
      <c r="AG97" s="39"/>
      <c r="AH97" s="39"/>
      <c r="AI97" s="52"/>
      <c r="AJ97" s="52"/>
      <c r="AK97" s="52"/>
      <c r="AL97" s="52"/>
      <c r="AM97" s="53"/>
      <c r="AN97" s="53"/>
      <c r="AO97" s="50"/>
      <c r="AP97" s="53"/>
      <c r="AQ97" s="53"/>
      <c r="AR97" s="50"/>
      <c r="AS97" s="53"/>
      <c r="AT97" s="53"/>
      <c r="AU97" s="50"/>
      <c r="AV97" s="53"/>
      <c r="AW97" s="53"/>
      <c r="AX97" s="50"/>
      <c r="AY97" s="53"/>
      <c r="AZ97" s="53"/>
      <c r="BA97" s="50"/>
      <c r="BB97" s="53"/>
      <c r="BC97" s="53"/>
      <c r="BD97" s="50"/>
    </row>
    <row r="98" spans="1:56" ht="25.5" customHeight="1" x14ac:dyDescent="0.2">
      <c r="A98" s="69">
        <v>9</v>
      </c>
      <c r="B98" s="69">
        <v>9</v>
      </c>
      <c r="C98" s="69" t="s">
        <v>260</v>
      </c>
      <c r="D98" s="69" t="s">
        <v>261</v>
      </c>
      <c r="E98" s="70" t="s">
        <v>262</v>
      </c>
      <c r="F98" s="69"/>
      <c r="G98" s="71">
        <v>46172</v>
      </c>
      <c r="H98" s="71">
        <v>46264</v>
      </c>
      <c r="I98" s="72"/>
      <c r="J98" s="71"/>
      <c r="K98" s="69"/>
      <c r="L98" s="69"/>
      <c r="M98" s="69"/>
      <c r="N98" s="71"/>
      <c r="O98" s="69"/>
      <c r="P98" s="71"/>
      <c r="Q98" s="69"/>
      <c r="R98" s="71"/>
      <c r="S98" s="69"/>
      <c r="T98" s="72"/>
      <c r="U98" s="72" t="str">
        <f t="shared" ref="U98:U113" si="5">IF(OR(I98="",T98=""),"",T98/I98)</f>
        <v/>
      </c>
      <c r="V98" s="71"/>
      <c r="W98" s="69"/>
      <c r="X98" s="71"/>
      <c r="Y98" s="69"/>
      <c r="Z98" s="69" t="str">
        <f>IF($B98="","",IF(AND(OR(K98="Đã phát hành",K98="Hoàn thiện"),M98="Đã bàn giao"),"✔","✘"))</f>
        <v>✘</v>
      </c>
      <c r="AA98" s="69" t="str">
        <f t="shared" ref="AA98:AA113" si="6">IF($B98="","",IF(Q98="Đã CU","✔","✘"))</f>
        <v>✘</v>
      </c>
      <c r="AB98" s="69" t="str">
        <f t="shared" ref="AB98:AB113" si="7">IF($B98="","",IF(Y98="Đã duyệt","✔","✘"))</f>
        <v>✘</v>
      </c>
      <c r="AC98" s="69" t="str">
        <f t="shared" ref="AC98:AC113" si="8">IF($B98="","",IF(AND(Z98="✔",AA98="✔",AB98="✔"),"ĐỦ ĐK KHỞI CÔNG","THIẾU ĐK"))</f>
        <v>THIẾU ĐK</v>
      </c>
      <c r="AD98" s="71">
        <v>46174</v>
      </c>
      <c r="AE98" s="69">
        <f>IF($B98="","",COUNTIFS('01_HSo TienKC'!$B:$B,$B98,'01_HSo TienKC'!$J:$J,"Đã duyệt"))</f>
        <v>0</v>
      </c>
      <c r="AF98" s="73"/>
      <c r="AG98" s="73"/>
      <c r="AH98" s="73"/>
      <c r="AI98" s="69" t="str">
        <f>IF($B98="","",COUNTIFS('02_KH Thang_Tuan'!$B:$B,$B98,'02_KH Thang_Tuan'!$J:$J,"Đã duyệt")&amp;"/"&amp;COUNTIFS('02_KH Thang_Tuan'!$B:$B,$B98))</f>
        <v>0/0</v>
      </c>
      <c r="AJ98" s="69">
        <f>IF($B98="","",COUNTIFS('03_Phat sinh'!$C:$C,$B98,'03_Phat sinh'!$M:$M,"&lt;&gt;Đã duyệt"))</f>
        <v>0</v>
      </c>
      <c r="AK98" s="69">
        <f>IF($B98="","",COUNTIFS('04_CU dac thu'!$C:$C,$B98,'04_CU dac thu'!$N:$N,"&lt;&gt;Đã duyệt"))</f>
        <v>0</v>
      </c>
      <c r="AL98" s="69">
        <f>IF($B98="","",COUNTIFS('05_Bu tien do'!$B:$B,$B98,'05_Bu tien do'!$N:$N,"&lt;&gt;Đã hoàn thành"))</f>
        <v>0</v>
      </c>
      <c r="AM98" s="74">
        <v>0.25</v>
      </c>
      <c r="AN98" s="74">
        <v>0.22</v>
      </c>
      <c r="AO98" s="70" t="s">
        <v>137</v>
      </c>
      <c r="AP98" s="74">
        <v>0.25</v>
      </c>
      <c r="AQ98" s="74">
        <v>0.22</v>
      </c>
      <c r="AR98" s="70" t="s">
        <v>137</v>
      </c>
      <c r="AS98" s="74">
        <v>0.06</v>
      </c>
      <c r="AT98" s="74">
        <v>0.06</v>
      </c>
      <c r="AU98" s="70"/>
      <c r="AV98" s="74">
        <v>0.12</v>
      </c>
      <c r="AW98" s="74">
        <v>0.11</v>
      </c>
      <c r="AX98" s="70" t="s">
        <v>138</v>
      </c>
      <c r="AY98" s="74">
        <v>0.19</v>
      </c>
      <c r="AZ98" s="74">
        <v>0.16</v>
      </c>
      <c r="BA98" s="70" t="s">
        <v>139</v>
      </c>
      <c r="BB98" s="74">
        <v>0.25</v>
      </c>
      <c r="BC98" s="74">
        <v>0.22</v>
      </c>
      <c r="BD98" s="70" t="s">
        <v>140</v>
      </c>
    </row>
    <row r="99" spans="1:56" ht="25.5" customHeight="1" x14ac:dyDescent="0.2">
      <c r="A99" s="49" t="s">
        <v>263</v>
      </c>
      <c r="B99" s="49"/>
      <c r="C99" s="49" t="s">
        <v>142</v>
      </c>
      <c r="D99" s="70" t="s">
        <v>262</v>
      </c>
      <c r="E99" s="50" t="s">
        <v>264</v>
      </c>
      <c r="F99" s="49" t="s">
        <v>136</v>
      </c>
      <c r="G99" s="51"/>
      <c r="H99" s="51"/>
      <c r="I99" s="54"/>
      <c r="J99" s="51"/>
      <c r="K99" s="49"/>
      <c r="L99" s="49"/>
      <c r="M99" s="49"/>
      <c r="N99" s="51"/>
      <c r="O99" s="49"/>
      <c r="P99" s="51"/>
      <c r="Q99" s="49"/>
      <c r="R99" s="51"/>
      <c r="S99" s="49"/>
      <c r="T99" s="54"/>
      <c r="U99" s="55" t="str">
        <f t="shared" si="5"/>
        <v/>
      </c>
      <c r="V99" s="51"/>
      <c r="W99" s="49"/>
      <c r="X99" s="51"/>
      <c r="Y99" s="49"/>
      <c r="Z99" s="52" t="str">
        <f>IF($B99="","",IF(AND(OR(#REF!="Đã phát hành",#REF!="Hoàn thiện"),M99="Đã bàn giao"),"✔","✘"))</f>
        <v/>
      </c>
      <c r="AA99" s="52" t="str">
        <f t="shared" si="6"/>
        <v/>
      </c>
      <c r="AB99" s="52" t="str">
        <f t="shared" si="7"/>
        <v/>
      </c>
      <c r="AC99" s="52" t="str">
        <f t="shared" si="8"/>
        <v/>
      </c>
      <c r="AD99" s="51"/>
      <c r="AE99" s="52" t="str">
        <f>IF($B99="","",COUNTIFS('01_HSo TienKC'!$B:$B,$B99,'01_HSo TienKC'!$J:$J,"Đã duyệt"))</f>
        <v/>
      </c>
      <c r="AF99" s="39"/>
      <c r="AG99" s="39"/>
      <c r="AH99" s="39"/>
      <c r="AI99" s="52" t="str">
        <f>IF($B99="","",COUNTIFS('02_KH Thang_Tuan'!$B:$B,$B99,'02_KH Thang_Tuan'!$J:$J,"Đã duyệt")&amp;"/"&amp;COUNTIFS('02_KH Thang_Tuan'!$B:$B,$B99))</f>
        <v/>
      </c>
      <c r="AJ99" s="52" t="str">
        <f>IF($B99="","",COUNTIFS('03_Phat sinh'!$C:$C,$B99,'03_Phat sinh'!$M:$M,"&lt;&gt;Đã duyệt"))</f>
        <v/>
      </c>
      <c r="AK99" s="52" t="str">
        <f>IF($B99="","",COUNTIFS('04_CU dac thu'!$C:$C,$B99,'04_CU dac thu'!$N:$N,"&lt;&gt;Đã duyệt"))</f>
        <v/>
      </c>
      <c r="AL99" s="52" t="str">
        <f>IF($B99="","",COUNTIFS('05_Bu tien do'!$B:$B,$B99,'05_Bu tien do'!$N:$N,"&lt;&gt;Đã hoàn thành"))</f>
        <v/>
      </c>
      <c r="AM99" s="53"/>
      <c r="AN99" s="53"/>
      <c r="AO99" s="50"/>
      <c r="AP99" s="53"/>
      <c r="AQ99" s="53"/>
      <c r="AR99" s="50"/>
      <c r="AS99" s="53"/>
      <c r="AT99" s="53"/>
      <c r="AU99" s="50"/>
      <c r="AV99" s="53"/>
      <c r="AW99" s="53"/>
      <c r="AX99" s="50"/>
      <c r="AY99" s="53"/>
      <c r="AZ99" s="53"/>
      <c r="BA99" s="50"/>
      <c r="BB99" s="53"/>
      <c r="BC99" s="53"/>
      <c r="BD99" s="50"/>
    </row>
    <row r="100" spans="1:56" ht="25.5" customHeight="1" x14ac:dyDescent="0.2">
      <c r="A100" s="49" t="s">
        <v>265</v>
      </c>
      <c r="B100" s="49"/>
      <c r="C100" s="49" t="s">
        <v>142</v>
      </c>
      <c r="D100" s="70" t="s">
        <v>262</v>
      </c>
      <c r="E100" s="50" t="s">
        <v>266</v>
      </c>
      <c r="F100" s="49" t="s">
        <v>136</v>
      </c>
      <c r="G100" s="51"/>
      <c r="H100" s="51"/>
      <c r="I100" s="54"/>
      <c r="J100" s="51"/>
      <c r="K100" s="49"/>
      <c r="L100" s="49"/>
      <c r="M100" s="49"/>
      <c r="N100" s="51"/>
      <c r="O100" s="49"/>
      <c r="P100" s="51"/>
      <c r="Q100" s="49"/>
      <c r="R100" s="51"/>
      <c r="S100" s="49"/>
      <c r="T100" s="54"/>
      <c r="U100" s="55" t="str">
        <f t="shared" si="5"/>
        <v/>
      </c>
      <c r="V100" s="51"/>
      <c r="W100" s="49"/>
      <c r="X100" s="51"/>
      <c r="Y100" s="49"/>
      <c r="Z100" s="52" t="str">
        <f>IF($B100="","",IF(AND(OR(K99="Đã phát hành",K99="Hoàn thiện"),M100="Đã bàn giao"),"✔","✘"))</f>
        <v/>
      </c>
      <c r="AA100" s="52" t="str">
        <f t="shared" si="6"/>
        <v/>
      </c>
      <c r="AB100" s="52" t="str">
        <f t="shared" si="7"/>
        <v/>
      </c>
      <c r="AC100" s="52" t="str">
        <f t="shared" si="8"/>
        <v/>
      </c>
      <c r="AD100" s="51"/>
      <c r="AE100" s="52" t="str">
        <f>IF($B100="","",COUNTIFS('01_HSo TienKC'!$B:$B,$B100,'01_HSo TienKC'!$J:$J,"Đã duyệt"))</f>
        <v/>
      </c>
      <c r="AF100" s="39"/>
      <c r="AG100" s="39"/>
      <c r="AH100" s="39"/>
      <c r="AI100" s="52" t="str">
        <f>IF($B100="","",COUNTIFS('02_KH Thang_Tuan'!$B:$B,$B100,'02_KH Thang_Tuan'!$J:$J,"Đã duyệt")&amp;"/"&amp;COUNTIFS('02_KH Thang_Tuan'!$B:$B,$B100))</f>
        <v/>
      </c>
      <c r="AJ100" s="52" t="str">
        <f>IF($B100="","",COUNTIFS('03_Phat sinh'!$C:$C,$B100,'03_Phat sinh'!$M:$M,"&lt;&gt;Đã duyệt"))</f>
        <v/>
      </c>
      <c r="AK100" s="52" t="str">
        <f>IF($B100="","",COUNTIFS('04_CU dac thu'!$C:$C,$B100,'04_CU dac thu'!$N:$N,"&lt;&gt;Đã duyệt"))</f>
        <v/>
      </c>
      <c r="AL100" s="52" t="str">
        <f>IF($B100="","",COUNTIFS('05_Bu tien do'!$B:$B,$B100,'05_Bu tien do'!$N:$N,"&lt;&gt;Đã hoàn thành"))</f>
        <v/>
      </c>
      <c r="AM100" s="53"/>
      <c r="AN100" s="53"/>
      <c r="AO100" s="50"/>
      <c r="AP100" s="53"/>
      <c r="AQ100" s="53"/>
      <c r="AR100" s="50"/>
      <c r="AS100" s="53"/>
      <c r="AT100" s="53"/>
      <c r="AU100" s="50"/>
      <c r="AV100" s="53"/>
      <c r="AW100" s="53"/>
      <c r="AX100" s="50"/>
      <c r="AY100" s="53"/>
      <c r="AZ100" s="53"/>
      <c r="BA100" s="50"/>
      <c r="BB100" s="53"/>
      <c r="BC100" s="53"/>
      <c r="BD100" s="50"/>
    </row>
    <row r="101" spans="1:56" ht="25.5" customHeight="1" x14ac:dyDescent="0.2">
      <c r="A101" s="49" t="s">
        <v>267</v>
      </c>
      <c r="B101" s="49"/>
      <c r="C101" s="49" t="s">
        <v>142</v>
      </c>
      <c r="D101" s="70" t="s">
        <v>262</v>
      </c>
      <c r="E101" s="50" t="s">
        <v>268</v>
      </c>
      <c r="F101" s="49" t="s">
        <v>136</v>
      </c>
      <c r="G101" s="51">
        <v>46172</v>
      </c>
      <c r="H101" s="51">
        <v>46264</v>
      </c>
      <c r="I101" s="54"/>
      <c r="J101" s="51">
        <v>46202</v>
      </c>
      <c r="K101" s="49"/>
      <c r="L101" s="49"/>
      <c r="M101" s="49"/>
      <c r="N101" s="51"/>
      <c r="O101" s="49"/>
      <c r="P101" s="51"/>
      <c r="Q101" s="49"/>
      <c r="R101" s="51"/>
      <c r="S101" s="49"/>
      <c r="T101" s="54"/>
      <c r="U101" s="55" t="str">
        <f t="shared" si="5"/>
        <v/>
      </c>
      <c r="V101" s="51"/>
      <c r="W101" s="49"/>
      <c r="X101" s="51"/>
      <c r="Y101" s="49"/>
      <c r="Z101" s="52" t="str">
        <f>IF($B101="","",IF(AND(OR(K101="Đã phát hành",K101="Hoàn thiện"),M101="Đã bàn giao"),"✔","✘"))</f>
        <v/>
      </c>
      <c r="AA101" s="52" t="str">
        <f t="shared" si="6"/>
        <v/>
      </c>
      <c r="AB101" s="52" t="str">
        <f t="shared" si="7"/>
        <v/>
      </c>
      <c r="AC101" s="52" t="str">
        <f t="shared" si="8"/>
        <v/>
      </c>
      <c r="AD101" s="51"/>
      <c r="AE101" s="52" t="str">
        <f>IF($B101="","",COUNTIFS('01_HSo TienKC'!$B:$B,$B101,'01_HSo TienKC'!$J:$J,"Đã duyệt"))</f>
        <v/>
      </c>
      <c r="AF101" s="39"/>
      <c r="AG101" s="39"/>
      <c r="AH101" s="39"/>
      <c r="AI101" s="52" t="str">
        <f>IF($B101="","",COUNTIFS('02_KH Thang_Tuan'!$B:$B,$B101,'02_KH Thang_Tuan'!$J:$J,"Đã duyệt")&amp;"/"&amp;COUNTIFS('02_KH Thang_Tuan'!$B:$B,$B101))</f>
        <v/>
      </c>
      <c r="AJ101" s="52" t="str">
        <f>IF($B101="","",COUNTIFS('03_Phat sinh'!$C:$C,$B101,'03_Phat sinh'!$M:$M,"&lt;&gt;Đã duyệt"))</f>
        <v/>
      </c>
      <c r="AK101" s="52" t="str">
        <f>IF($B101="","",COUNTIFS('04_CU dac thu'!$C:$C,$B101,'04_CU dac thu'!$N:$N,"&lt;&gt;Đã duyệt"))</f>
        <v/>
      </c>
      <c r="AL101" s="52" t="str">
        <f>IF($B101="","",COUNTIFS('05_Bu tien do'!$B:$B,$B101,'05_Bu tien do'!$N:$N,"&lt;&gt;Đã hoàn thành"))</f>
        <v/>
      </c>
      <c r="AM101" s="53"/>
      <c r="AN101" s="53"/>
      <c r="AO101" s="50"/>
      <c r="AP101" s="53"/>
      <c r="AQ101" s="53"/>
      <c r="AR101" s="50"/>
      <c r="AS101" s="53"/>
      <c r="AT101" s="53"/>
      <c r="AU101" s="50"/>
      <c r="AV101" s="53"/>
      <c r="AW101" s="53"/>
      <c r="AX101" s="50"/>
      <c r="AY101" s="53"/>
      <c r="AZ101" s="53"/>
      <c r="BA101" s="50"/>
      <c r="BB101" s="53"/>
      <c r="BC101" s="53"/>
      <c r="BD101" s="50"/>
    </row>
    <row r="102" spans="1:56" ht="25.5" customHeight="1" x14ac:dyDescent="0.2">
      <c r="A102" s="49" t="s">
        <v>269</v>
      </c>
      <c r="B102" s="49"/>
      <c r="C102" s="49" t="s">
        <v>142</v>
      </c>
      <c r="D102" s="70" t="s">
        <v>262</v>
      </c>
      <c r="E102" s="50" t="s">
        <v>270</v>
      </c>
      <c r="F102" s="49" t="s">
        <v>136</v>
      </c>
      <c r="G102" s="51">
        <v>46172</v>
      </c>
      <c r="H102" s="51">
        <v>46264</v>
      </c>
      <c r="I102" s="54"/>
      <c r="J102" s="51">
        <v>46202</v>
      </c>
      <c r="K102" s="49"/>
      <c r="L102" s="49"/>
      <c r="M102" s="49"/>
      <c r="N102" s="51"/>
      <c r="O102" s="49"/>
      <c r="P102" s="51"/>
      <c r="Q102" s="49"/>
      <c r="R102" s="51"/>
      <c r="S102" s="49"/>
      <c r="T102" s="54"/>
      <c r="U102" s="55" t="str">
        <f t="shared" si="5"/>
        <v/>
      </c>
      <c r="V102" s="51"/>
      <c r="W102" s="49"/>
      <c r="X102" s="51"/>
      <c r="Y102" s="49"/>
      <c r="Z102" s="52" t="str">
        <f>IF($B102="","",IF(AND(OR(K102="Đã phát hành",K102="Hoàn thiện"),M102="Đã bàn giao"),"✔","✘"))</f>
        <v/>
      </c>
      <c r="AA102" s="52" t="str">
        <f t="shared" si="6"/>
        <v/>
      </c>
      <c r="AB102" s="52" t="str">
        <f t="shared" si="7"/>
        <v/>
      </c>
      <c r="AC102" s="52" t="str">
        <f t="shared" si="8"/>
        <v/>
      </c>
      <c r="AD102" s="51"/>
      <c r="AE102" s="52" t="str">
        <f>IF($B102="","",COUNTIFS('01_HSo TienKC'!$B:$B,$B102,'01_HSo TienKC'!$J:$J,"Đã duyệt"))</f>
        <v/>
      </c>
      <c r="AF102" s="39"/>
      <c r="AG102" s="39"/>
      <c r="AH102" s="39"/>
      <c r="AI102" s="52" t="str">
        <f>IF($B102="","",COUNTIFS('02_KH Thang_Tuan'!$B:$B,$B102,'02_KH Thang_Tuan'!$J:$J,"Đã duyệt")&amp;"/"&amp;COUNTIFS('02_KH Thang_Tuan'!$B:$B,$B102))</f>
        <v/>
      </c>
      <c r="AJ102" s="52" t="str">
        <f>IF($B102="","",COUNTIFS('03_Phat sinh'!$C:$C,$B102,'03_Phat sinh'!$M:$M,"&lt;&gt;Đã duyệt"))</f>
        <v/>
      </c>
      <c r="AK102" s="52" t="str">
        <f>IF($B102="","",COUNTIFS('04_CU dac thu'!$C:$C,$B102,'04_CU dac thu'!$N:$N,"&lt;&gt;Đã duyệt"))</f>
        <v/>
      </c>
      <c r="AL102" s="52" t="str">
        <f>IF($B102="","",COUNTIFS('05_Bu tien do'!$B:$B,$B102,'05_Bu tien do'!$N:$N,"&lt;&gt;Đã hoàn thành"))</f>
        <v/>
      </c>
      <c r="AM102" s="53"/>
      <c r="AN102" s="53"/>
      <c r="AO102" s="50"/>
      <c r="AP102" s="53"/>
      <c r="AQ102" s="53"/>
      <c r="AR102" s="50"/>
      <c r="AS102" s="53"/>
      <c r="AT102" s="53"/>
      <c r="AU102" s="50"/>
      <c r="AV102" s="53"/>
      <c r="AW102" s="53"/>
      <c r="AX102" s="50"/>
      <c r="AY102" s="53"/>
      <c r="AZ102" s="53"/>
      <c r="BA102" s="50"/>
      <c r="BB102" s="53"/>
      <c r="BC102" s="53"/>
      <c r="BD102" s="50"/>
    </row>
    <row r="103" spans="1:56" ht="25.5" customHeight="1" x14ac:dyDescent="0.2">
      <c r="A103" s="69">
        <v>10</v>
      </c>
      <c r="B103" s="69">
        <v>10</v>
      </c>
      <c r="C103" s="69" t="s">
        <v>271</v>
      </c>
      <c r="D103" s="69" t="s">
        <v>261</v>
      </c>
      <c r="E103" s="70" t="s">
        <v>272</v>
      </c>
      <c r="F103" s="69"/>
      <c r="G103" s="71">
        <v>46021</v>
      </c>
      <c r="H103" s="71">
        <v>46325</v>
      </c>
      <c r="I103" s="72"/>
      <c r="J103" s="71"/>
      <c r="K103" s="69"/>
      <c r="L103" s="69"/>
      <c r="M103" s="69"/>
      <c r="N103" s="71"/>
      <c r="O103" s="69"/>
      <c r="P103" s="71"/>
      <c r="Q103" s="69"/>
      <c r="R103" s="71"/>
      <c r="S103" s="69"/>
      <c r="T103" s="72"/>
      <c r="U103" s="72" t="str">
        <f t="shared" si="5"/>
        <v/>
      </c>
      <c r="V103" s="71"/>
      <c r="W103" s="69"/>
      <c r="X103" s="71"/>
      <c r="Y103" s="69"/>
      <c r="Z103" s="69" t="str">
        <f>IF($B103="","",IF(AND(OR(K103="Đã phát hành",K103="Hoàn thiện"),M103="Đã bàn giao"),"✔","✘"))</f>
        <v>✘</v>
      </c>
      <c r="AA103" s="69" t="str">
        <f t="shared" si="6"/>
        <v>✘</v>
      </c>
      <c r="AB103" s="69" t="str">
        <f t="shared" si="7"/>
        <v>✘</v>
      </c>
      <c r="AC103" s="69" t="str">
        <f t="shared" si="8"/>
        <v>THIẾU ĐK</v>
      </c>
      <c r="AD103" s="71">
        <v>46174</v>
      </c>
      <c r="AE103" s="69">
        <f>IF($B103="","",COUNTIFS('01_HSo TienKC'!$B:$B,$B103,'01_HSo TienKC'!$J:$J,"Đã duyệt"))</f>
        <v>0</v>
      </c>
      <c r="AF103" s="73"/>
      <c r="AG103" s="73"/>
      <c r="AH103" s="73"/>
      <c r="AI103" s="69" t="str">
        <f>IF($B103="","",COUNTIFS('02_KH Thang_Tuan'!$B:$B,$B103,'02_KH Thang_Tuan'!$J:$J,"Đã duyệt")&amp;"/"&amp;COUNTIFS('02_KH Thang_Tuan'!$B:$B,$B103))</f>
        <v>0/0</v>
      </c>
      <c r="AJ103" s="69">
        <f>IF($B103="","",COUNTIFS('03_Phat sinh'!$C:$C,$B103,'03_Phat sinh'!$M:$M,"&lt;&gt;Đã duyệt"))</f>
        <v>0</v>
      </c>
      <c r="AK103" s="69">
        <f>IF($B103="","",COUNTIFS('04_CU dac thu'!$C:$C,$B103,'04_CU dac thu'!$N:$N,"&lt;&gt;Đã duyệt"))</f>
        <v>0</v>
      </c>
      <c r="AL103" s="69">
        <f>IF($B103="","",COUNTIFS('05_Bu tien do'!$B:$B,$B103,'05_Bu tien do'!$N:$N,"&lt;&gt;Đã hoàn thành"))</f>
        <v>0</v>
      </c>
      <c r="AM103" s="74">
        <v>0.25</v>
      </c>
      <c r="AN103" s="74">
        <v>0.22</v>
      </c>
      <c r="AO103" s="70" t="s">
        <v>137</v>
      </c>
      <c r="AP103" s="74">
        <v>0.25</v>
      </c>
      <c r="AQ103" s="74">
        <v>0.22</v>
      </c>
      <c r="AR103" s="70" t="s">
        <v>137</v>
      </c>
      <c r="AS103" s="74">
        <v>0.06</v>
      </c>
      <c r="AT103" s="74">
        <v>0.06</v>
      </c>
      <c r="AU103" s="70"/>
      <c r="AV103" s="74">
        <v>0.12</v>
      </c>
      <c r="AW103" s="74">
        <v>0.11</v>
      </c>
      <c r="AX103" s="70" t="s">
        <v>138</v>
      </c>
      <c r="AY103" s="74">
        <v>0.19</v>
      </c>
      <c r="AZ103" s="74">
        <v>0.16</v>
      </c>
      <c r="BA103" s="70" t="s">
        <v>139</v>
      </c>
      <c r="BB103" s="74">
        <v>0.25</v>
      </c>
      <c r="BC103" s="74">
        <v>0.22</v>
      </c>
      <c r="BD103" s="70" t="s">
        <v>140</v>
      </c>
    </row>
    <row r="104" spans="1:56" ht="25.5" customHeight="1" x14ac:dyDescent="0.2">
      <c r="A104" s="49" t="s">
        <v>273</v>
      </c>
      <c r="B104" s="49"/>
      <c r="C104" s="49" t="s">
        <v>142</v>
      </c>
      <c r="D104" s="70" t="s">
        <v>272</v>
      </c>
      <c r="E104" s="50" t="s">
        <v>274</v>
      </c>
      <c r="F104" s="49" t="s">
        <v>136</v>
      </c>
      <c r="G104" s="51"/>
      <c r="H104" s="51"/>
      <c r="I104" s="54"/>
      <c r="J104" s="51"/>
      <c r="K104" s="49"/>
      <c r="L104" s="49"/>
      <c r="M104" s="49"/>
      <c r="N104" s="51"/>
      <c r="O104" s="49"/>
      <c r="P104" s="51"/>
      <c r="Q104" s="49"/>
      <c r="R104" s="51"/>
      <c r="S104" s="49"/>
      <c r="T104" s="54"/>
      <c r="U104" s="55" t="str">
        <f t="shared" si="5"/>
        <v/>
      </c>
      <c r="V104" s="51"/>
      <c r="W104" s="49"/>
      <c r="X104" s="51"/>
      <c r="Y104" s="49"/>
      <c r="Z104" s="52" t="str">
        <f>IF($B104="","",IF(AND(OR(#REF!="Đã phát hành",#REF!="Hoàn thiện"),M104="Đã bàn giao"),"✔","✘"))</f>
        <v/>
      </c>
      <c r="AA104" s="52" t="str">
        <f t="shared" si="6"/>
        <v/>
      </c>
      <c r="AB104" s="52" t="str">
        <f t="shared" si="7"/>
        <v/>
      </c>
      <c r="AC104" s="52" t="str">
        <f t="shared" si="8"/>
        <v/>
      </c>
      <c r="AD104" s="51"/>
      <c r="AE104" s="52" t="str">
        <f>IF($B104="","",COUNTIFS('01_HSo TienKC'!$B:$B,$B104,'01_HSo TienKC'!$J:$J,"Đã duyệt"))</f>
        <v/>
      </c>
      <c r="AF104" s="39"/>
      <c r="AG104" s="39"/>
      <c r="AH104" s="39"/>
      <c r="AI104" s="52" t="str">
        <f>IF($B104="","",COUNTIFS('02_KH Thang_Tuan'!$B:$B,$B104,'02_KH Thang_Tuan'!$J:$J,"Đã duyệt")&amp;"/"&amp;COUNTIFS('02_KH Thang_Tuan'!$B:$B,$B104))</f>
        <v/>
      </c>
      <c r="AJ104" s="52" t="str">
        <f>IF($B104="","",COUNTIFS('03_Phat sinh'!$C:$C,$B104,'03_Phat sinh'!$M:$M,"&lt;&gt;Đã duyệt"))</f>
        <v/>
      </c>
      <c r="AK104" s="52" t="str">
        <f>IF($B104="","",COUNTIFS('04_CU dac thu'!$C:$C,$B104,'04_CU dac thu'!$N:$N,"&lt;&gt;Đã duyệt"))</f>
        <v/>
      </c>
      <c r="AL104" s="52" t="str">
        <f>IF($B104="","",COUNTIFS('05_Bu tien do'!$B:$B,$B104,'05_Bu tien do'!$N:$N,"&lt;&gt;Đã hoàn thành"))</f>
        <v/>
      </c>
      <c r="AM104" s="53"/>
      <c r="AN104" s="53"/>
      <c r="AO104" s="50"/>
      <c r="AP104" s="53"/>
      <c r="AQ104" s="53"/>
      <c r="AR104" s="50"/>
      <c r="AS104" s="53"/>
      <c r="AT104" s="53"/>
      <c r="AU104" s="50"/>
      <c r="AV104" s="53"/>
      <c r="AW104" s="53"/>
      <c r="AX104" s="50"/>
      <c r="AY104" s="53"/>
      <c r="AZ104" s="53"/>
      <c r="BA104" s="50"/>
      <c r="BB104" s="53"/>
      <c r="BC104" s="53"/>
      <c r="BD104" s="50"/>
    </row>
    <row r="105" spans="1:56" ht="25.5" customHeight="1" x14ac:dyDescent="0.2">
      <c r="A105" s="49" t="s">
        <v>275</v>
      </c>
      <c r="B105" s="49"/>
      <c r="C105" s="49" t="s">
        <v>142</v>
      </c>
      <c r="D105" s="70" t="s">
        <v>272</v>
      </c>
      <c r="E105" s="50" t="s">
        <v>276</v>
      </c>
      <c r="F105" s="49" t="s">
        <v>123</v>
      </c>
      <c r="G105" s="51"/>
      <c r="H105" s="51"/>
      <c r="I105" s="54"/>
      <c r="J105" s="51"/>
      <c r="K105" s="49"/>
      <c r="L105" s="49"/>
      <c r="M105" s="49"/>
      <c r="N105" s="51"/>
      <c r="O105" s="49"/>
      <c r="P105" s="51"/>
      <c r="Q105" s="49"/>
      <c r="R105" s="51"/>
      <c r="S105" s="49"/>
      <c r="T105" s="54"/>
      <c r="U105" s="55" t="str">
        <f t="shared" si="5"/>
        <v/>
      </c>
      <c r="V105" s="51"/>
      <c r="W105" s="49"/>
      <c r="X105" s="51"/>
      <c r="Y105" s="49"/>
      <c r="Z105" s="52" t="str">
        <f>IF($B105="","",IF(AND(OR(K104="Đã phát hành",K104="Hoàn thiện"),M105="Đã bàn giao"),"✔","✘"))</f>
        <v/>
      </c>
      <c r="AA105" s="52" t="str">
        <f t="shared" si="6"/>
        <v/>
      </c>
      <c r="AB105" s="52" t="str">
        <f t="shared" si="7"/>
        <v/>
      </c>
      <c r="AC105" s="52" t="str">
        <f t="shared" si="8"/>
        <v/>
      </c>
      <c r="AD105" s="51"/>
      <c r="AE105" s="52" t="str">
        <f>IF($B105="","",COUNTIFS('01_HSo TienKC'!$B:$B,$B105,'01_HSo TienKC'!$J:$J,"Đã duyệt"))</f>
        <v/>
      </c>
      <c r="AF105" s="39"/>
      <c r="AG105" s="39"/>
      <c r="AH105" s="39"/>
      <c r="AI105" s="52" t="str">
        <f>IF($B105="","",COUNTIFS('02_KH Thang_Tuan'!$B:$B,$B105,'02_KH Thang_Tuan'!$J:$J,"Đã duyệt")&amp;"/"&amp;COUNTIFS('02_KH Thang_Tuan'!$B:$B,$B105))</f>
        <v/>
      </c>
      <c r="AJ105" s="52" t="str">
        <f>IF($B105="","",COUNTIFS('03_Phat sinh'!$C:$C,$B105,'03_Phat sinh'!$M:$M,"&lt;&gt;Đã duyệt"))</f>
        <v/>
      </c>
      <c r="AK105" s="52" t="str">
        <f>IF($B105="","",COUNTIFS('04_CU dac thu'!$C:$C,$B105,'04_CU dac thu'!$N:$N,"&lt;&gt;Đã duyệt"))</f>
        <v/>
      </c>
      <c r="AL105" s="52" t="str">
        <f>IF($B105="","",COUNTIFS('05_Bu tien do'!$B:$B,$B105,'05_Bu tien do'!$N:$N,"&lt;&gt;Đã hoàn thành"))</f>
        <v/>
      </c>
      <c r="AM105" s="53"/>
      <c r="AN105" s="53"/>
      <c r="AO105" s="50"/>
      <c r="AP105" s="53"/>
      <c r="AQ105" s="53"/>
      <c r="AR105" s="50"/>
      <c r="AS105" s="53"/>
      <c r="AT105" s="53"/>
      <c r="AU105" s="50"/>
      <c r="AV105" s="53"/>
      <c r="AW105" s="53"/>
      <c r="AX105" s="50"/>
      <c r="AY105" s="53"/>
      <c r="AZ105" s="53"/>
      <c r="BA105" s="50"/>
      <c r="BB105" s="53"/>
      <c r="BC105" s="53"/>
      <c r="BD105" s="50"/>
    </row>
    <row r="106" spans="1:56" ht="25.5" customHeight="1" x14ac:dyDescent="0.2">
      <c r="A106" s="49" t="s">
        <v>277</v>
      </c>
      <c r="B106" s="49"/>
      <c r="C106" s="49" t="s">
        <v>142</v>
      </c>
      <c r="D106" s="70" t="s">
        <v>272</v>
      </c>
      <c r="E106" s="50" t="s">
        <v>278</v>
      </c>
      <c r="F106" s="49" t="s">
        <v>123</v>
      </c>
      <c r="G106" s="51"/>
      <c r="H106" s="51"/>
      <c r="I106" s="54"/>
      <c r="J106" s="51"/>
      <c r="K106" s="49"/>
      <c r="L106" s="49"/>
      <c r="M106" s="49"/>
      <c r="N106" s="51"/>
      <c r="O106" s="49"/>
      <c r="P106" s="51"/>
      <c r="Q106" s="49"/>
      <c r="R106" s="51"/>
      <c r="S106" s="49"/>
      <c r="T106" s="54"/>
      <c r="U106" s="55" t="str">
        <f t="shared" si="5"/>
        <v/>
      </c>
      <c r="V106" s="51"/>
      <c r="W106" s="49"/>
      <c r="X106" s="51"/>
      <c r="Y106" s="49"/>
      <c r="Z106" s="52" t="str">
        <f>IF($B106="","",IF(AND(OR(K106="Đã phát hành",K106="Hoàn thiện"),M106="Đã bàn giao"),"✔","✘"))</f>
        <v/>
      </c>
      <c r="AA106" s="52" t="str">
        <f t="shared" si="6"/>
        <v/>
      </c>
      <c r="AB106" s="52" t="str">
        <f t="shared" si="7"/>
        <v/>
      </c>
      <c r="AC106" s="52" t="str">
        <f t="shared" si="8"/>
        <v/>
      </c>
      <c r="AD106" s="51"/>
      <c r="AE106" s="52" t="str">
        <f>IF($B106="","",COUNTIFS('01_HSo TienKC'!$B:$B,$B106,'01_HSo TienKC'!$J:$J,"Đã duyệt"))</f>
        <v/>
      </c>
      <c r="AF106" s="39"/>
      <c r="AG106" s="39"/>
      <c r="AH106" s="39"/>
      <c r="AI106" s="52" t="str">
        <f>IF($B106="","",COUNTIFS('02_KH Thang_Tuan'!$B:$B,$B106,'02_KH Thang_Tuan'!$J:$J,"Đã duyệt")&amp;"/"&amp;COUNTIFS('02_KH Thang_Tuan'!$B:$B,$B106))</f>
        <v/>
      </c>
      <c r="AJ106" s="52" t="str">
        <f>IF($B106="","",COUNTIFS('03_Phat sinh'!$C:$C,$B106,'03_Phat sinh'!$M:$M,"&lt;&gt;Đã duyệt"))</f>
        <v/>
      </c>
      <c r="AK106" s="52" t="str">
        <f>IF($B106="","",COUNTIFS('04_CU dac thu'!$C:$C,$B106,'04_CU dac thu'!$N:$N,"&lt;&gt;Đã duyệt"))</f>
        <v/>
      </c>
      <c r="AL106" s="52" t="str">
        <f>IF($B106="","",COUNTIFS('05_Bu tien do'!$B:$B,$B106,'05_Bu tien do'!$N:$N,"&lt;&gt;Đã hoàn thành"))</f>
        <v/>
      </c>
      <c r="AM106" s="53"/>
      <c r="AN106" s="53"/>
      <c r="AO106" s="50"/>
      <c r="AP106" s="53"/>
      <c r="AQ106" s="53"/>
      <c r="AR106" s="50"/>
      <c r="AS106" s="53"/>
      <c r="AT106" s="53"/>
      <c r="AU106" s="50"/>
      <c r="AV106" s="53"/>
      <c r="AW106" s="53"/>
      <c r="AX106" s="50"/>
      <c r="AY106" s="53"/>
      <c r="AZ106" s="53"/>
      <c r="BA106" s="50"/>
      <c r="BB106" s="53"/>
      <c r="BC106" s="53"/>
      <c r="BD106" s="50"/>
    </row>
    <row r="107" spans="1:56" ht="25.5" customHeight="1" x14ac:dyDescent="0.2">
      <c r="A107" s="49" t="s">
        <v>279</v>
      </c>
      <c r="B107" s="49"/>
      <c r="C107" s="49" t="s">
        <v>142</v>
      </c>
      <c r="D107" s="70" t="s">
        <v>272</v>
      </c>
      <c r="E107" s="50" t="s">
        <v>280</v>
      </c>
      <c r="F107" s="49" t="s">
        <v>123</v>
      </c>
      <c r="G107" s="51"/>
      <c r="H107" s="51"/>
      <c r="I107" s="54"/>
      <c r="J107" s="51"/>
      <c r="K107" s="49"/>
      <c r="L107" s="49"/>
      <c r="M107" s="49"/>
      <c r="N107" s="51"/>
      <c r="O107" s="49"/>
      <c r="P107" s="51"/>
      <c r="Q107" s="49"/>
      <c r="R107" s="51"/>
      <c r="S107" s="49"/>
      <c r="T107" s="54"/>
      <c r="U107" s="55" t="str">
        <f t="shared" si="5"/>
        <v/>
      </c>
      <c r="V107" s="51"/>
      <c r="W107" s="49"/>
      <c r="X107" s="51"/>
      <c r="Y107" s="49"/>
      <c r="Z107" s="52" t="str">
        <f>IF($B107="","",IF(AND(OR(K107="Đã phát hành",K107="Hoàn thiện"),M107="Đã bàn giao"),"✔","✘"))</f>
        <v/>
      </c>
      <c r="AA107" s="52" t="str">
        <f t="shared" si="6"/>
        <v/>
      </c>
      <c r="AB107" s="52" t="str">
        <f t="shared" si="7"/>
        <v/>
      </c>
      <c r="AC107" s="52" t="str">
        <f t="shared" si="8"/>
        <v/>
      </c>
      <c r="AD107" s="51"/>
      <c r="AE107" s="52" t="str">
        <f>IF($B107="","",COUNTIFS('01_HSo TienKC'!$B:$B,$B107,'01_HSo TienKC'!$J:$J,"Đã duyệt"))</f>
        <v/>
      </c>
      <c r="AF107" s="39"/>
      <c r="AG107" s="39"/>
      <c r="AH107" s="39"/>
      <c r="AI107" s="52" t="str">
        <f>IF($B107="","",COUNTIFS('02_KH Thang_Tuan'!$B:$B,$B107,'02_KH Thang_Tuan'!$J:$J,"Đã duyệt")&amp;"/"&amp;COUNTIFS('02_KH Thang_Tuan'!$B:$B,$B107))</f>
        <v/>
      </c>
      <c r="AJ107" s="52" t="str">
        <f>IF($B107="","",COUNTIFS('03_Phat sinh'!$C:$C,$B107,'03_Phat sinh'!$M:$M,"&lt;&gt;Đã duyệt"))</f>
        <v/>
      </c>
      <c r="AK107" s="52" t="str">
        <f>IF($B107="","",COUNTIFS('04_CU dac thu'!$C:$C,$B107,'04_CU dac thu'!$N:$N,"&lt;&gt;Đã duyệt"))</f>
        <v/>
      </c>
      <c r="AL107" s="52" t="str">
        <f>IF($B107="","",COUNTIFS('05_Bu tien do'!$B:$B,$B107,'05_Bu tien do'!$N:$N,"&lt;&gt;Đã hoàn thành"))</f>
        <v/>
      </c>
      <c r="AM107" s="53"/>
      <c r="AN107" s="53"/>
      <c r="AO107" s="50"/>
      <c r="AP107" s="53"/>
      <c r="AQ107" s="53"/>
      <c r="AR107" s="50"/>
      <c r="AS107" s="53"/>
      <c r="AT107" s="53"/>
      <c r="AU107" s="50"/>
      <c r="AV107" s="53"/>
      <c r="AW107" s="53"/>
      <c r="AX107" s="50"/>
      <c r="AY107" s="53"/>
      <c r="AZ107" s="53"/>
      <c r="BA107" s="50"/>
      <c r="BB107" s="53"/>
      <c r="BC107" s="53"/>
      <c r="BD107" s="50"/>
    </row>
    <row r="108" spans="1:56" ht="25.5" customHeight="1" x14ac:dyDescent="0.2">
      <c r="A108" s="69">
        <v>11</v>
      </c>
      <c r="B108" s="69">
        <v>11</v>
      </c>
      <c r="C108" s="69" t="s">
        <v>281</v>
      </c>
      <c r="D108" s="69" t="s">
        <v>261</v>
      </c>
      <c r="E108" s="70" t="s">
        <v>282</v>
      </c>
      <c r="F108" s="69"/>
      <c r="G108" s="71">
        <v>45777</v>
      </c>
      <c r="H108" s="71">
        <v>46264</v>
      </c>
      <c r="I108" s="72"/>
      <c r="J108" s="71"/>
      <c r="K108" s="69"/>
      <c r="L108" s="69"/>
      <c r="M108" s="69"/>
      <c r="N108" s="71"/>
      <c r="O108" s="69"/>
      <c r="P108" s="71"/>
      <c r="Q108" s="69"/>
      <c r="R108" s="71"/>
      <c r="S108" s="69"/>
      <c r="T108" s="72"/>
      <c r="U108" s="72" t="str">
        <f t="shared" si="5"/>
        <v/>
      </c>
      <c r="V108" s="71"/>
      <c r="W108" s="69"/>
      <c r="X108" s="71"/>
      <c r="Y108" s="69"/>
      <c r="Z108" s="69" t="str">
        <f>IF($B108="","",IF(AND(OR(K108="Đã phát hành",K108="Hoàn thiện"),M108="Đã bàn giao"),"✔","✘"))</f>
        <v>✘</v>
      </c>
      <c r="AA108" s="69" t="str">
        <f t="shared" si="6"/>
        <v>✘</v>
      </c>
      <c r="AB108" s="69" t="str">
        <f t="shared" si="7"/>
        <v>✘</v>
      </c>
      <c r="AC108" s="69" t="str">
        <f t="shared" si="8"/>
        <v>THIẾU ĐK</v>
      </c>
      <c r="AD108" s="71">
        <v>46174</v>
      </c>
      <c r="AE108" s="69">
        <f>IF($B108="","",COUNTIFS('01_HSo TienKC'!$B:$B,$B108,'01_HSo TienKC'!$J:$J,"Đã duyệt"))</f>
        <v>0</v>
      </c>
      <c r="AF108" s="73"/>
      <c r="AG108" s="73"/>
      <c r="AH108" s="73"/>
      <c r="AI108" s="69" t="str">
        <f>IF($B108="","",COUNTIFS('02_KH Thang_Tuan'!$B:$B,$B108,'02_KH Thang_Tuan'!$J:$J,"Đã duyệt")&amp;"/"&amp;COUNTIFS('02_KH Thang_Tuan'!$B:$B,$B108))</f>
        <v>0/0</v>
      </c>
      <c r="AJ108" s="69">
        <f>IF($B108="","",COUNTIFS('03_Phat sinh'!$C:$C,$B108,'03_Phat sinh'!$M:$M,"&lt;&gt;Đã duyệt"))</f>
        <v>0</v>
      </c>
      <c r="AK108" s="69">
        <f>IF($B108="","",COUNTIFS('04_CU dac thu'!$C:$C,$B108,'04_CU dac thu'!$N:$N,"&lt;&gt;Đã duyệt"))</f>
        <v>0</v>
      </c>
      <c r="AL108" s="69">
        <f>IF($B108="","",COUNTIFS('05_Bu tien do'!$B:$B,$B108,'05_Bu tien do'!$N:$N,"&lt;&gt;Đã hoàn thành"))</f>
        <v>0</v>
      </c>
      <c r="AM108" s="74">
        <v>0.25</v>
      </c>
      <c r="AN108" s="74">
        <v>0.22</v>
      </c>
      <c r="AO108" s="70" t="s">
        <v>137</v>
      </c>
      <c r="AP108" s="74">
        <v>0.25</v>
      </c>
      <c r="AQ108" s="74">
        <v>0.22</v>
      </c>
      <c r="AR108" s="70" t="s">
        <v>137</v>
      </c>
      <c r="AS108" s="74">
        <v>0.06</v>
      </c>
      <c r="AT108" s="74">
        <v>0.06</v>
      </c>
      <c r="AU108" s="70"/>
      <c r="AV108" s="74">
        <v>0.12</v>
      </c>
      <c r="AW108" s="74">
        <v>0.11</v>
      </c>
      <c r="AX108" s="70" t="s">
        <v>138</v>
      </c>
      <c r="AY108" s="74">
        <v>0.19</v>
      </c>
      <c r="AZ108" s="74">
        <v>0.16</v>
      </c>
      <c r="BA108" s="70" t="s">
        <v>139</v>
      </c>
      <c r="BB108" s="74">
        <v>0.25</v>
      </c>
      <c r="BC108" s="74">
        <v>0.22</v>
      </c>
      <c r="BD108" s="70" t="s">
        <v>140</v>
      </c>
    </row>
    <row r="109" spans="1:56" ht="25.5" customHeight="1" x14ac:dyDescent="0.2">
      <c r="A109" s="49" t="s">
        <v>283</v>
      </c>
      <c r="B109" s="49"/>
      <c r="C109" s="49" t="s">
        <v>142</v>
      </c>
      <c r="D109" s="70" t="s">
        <v>282</v>
      </c>
      <c r="E109" s="50" t="s">
        <v>284</v>
      </c>
      <c r="F109" s="49" t="s">
        <v>136</v>
      </c>
      <c r="G109" s="51">
        <v>46204</v>
      </c>
      <c r="H109" s="51">
        <v>46264</v>
      </c>
      <c r="I109" s="54"/>
      <c r="J109" s="51"/>
      <c r="K109" s="49" t="s">
        <v>285</v>
      </c>
      <c r="L109" s="49"/>
      <c r="M109" s="49"/>
      <c r="N109" s="51"/>
      <c r="O109" s="49"/>
      <c r="P109" s="51"/>
      <c r="Q109" s="49"/>
      <c r="R109" s="51"/>
      <c r="S109" s="49"/>
      <c r="T109" s="54"/>
      <c r="U109" s="55" t="str">
        <f t="shared" si="5"/>
        <v/>
      </c>
      <c r="V109" s="51"/>
      <c r="W109" s="49"/>
      <c r="X109" s="51"/>
      <c r="Y109" s="49"/>
      <c r="Z109" s="52" t="str">
        <f>IF($B109="","",IF(AND(OR(#REF!="Đã phát hành",#REF!="Hoàn thiện"),M109="Đã bàn giao"),"✔","✘"))</f>
        <v/>
      </c>
      <c r="AA109" s="52" t="str">
        <f t="shared" si="6"/>
        <v/>
      </c>
      <c r="AB109" s="52" t="str">
        <f t="shared" si="7"/>
        <v/>
      </c>
      <c r="AC109" s="52" t="str">
        <f t="shared" si="8"/>
        <v/>
      </c>
      <c r="AD109" s="51"/>
      <c r="AE109" s="52" t="str">
        <f>IF($B109="","",COUNTIFS('01_HSo TienKC'!$B:$B,$B109,'01_HSo TienKC'!$J:$J,"Đã duyệt"))</f>
        <v/>
      </c>
      <c r="AF109" s="39"/>
      <c r="AG109" s="39"/>
      <c r="AH109" s="39"/>
      <c r="AI109" s="52" t="str">
        <f>IF($B109="","",COUNTIFS('02_KH Thang_Tuan'!$B:$B,$B109,'02_KH Thang_Tuan'!$J:$J,"Đã duyệt")&amp;"/"&amp;COUNTIFS('02_KH Thang_Tuan'!$B:$B,$B109))</f>
        <v/>
      </c>
      <c r="AJ109" s="52" t="str">
        <f>IF($B109="","",COUNTIFS('03_Phat sinh'!$C:$C,$B109,'03_Phat sinh'!$M:$M,"&lt;&gt;Đã duyệt"))</f>
        <v/>
      </c>
      <c r="AK109" s="52" t="str">
        <f>IF($B109="","",COUNTIFS('04_CU dac thu'!$C:$C,$B109,'04_CU dac thu'!$N:$N,"&lt;&gt;Đã duyệt"))</f>
        <v/>
      </c>
      <c r="AL109" s="52" t="str">
        <f>IF($B109="","",COUNTIFS('05_Bu tien do'!$B:$B,$B109,'05_Bu tien do'!$N:$N,"&lt;&gt;Đã hoàn thành"))</f>
        <v/>
      </c>
      <c r="AM109" s="53"/>
      <c r="AN109" s="53"/>
      <c r="AO109" s="50"/>
      <c r="AP109" s="53"/>
      <c r="AQ109" s="53"/>
      <c r="AR109" s="50"/>
      <c r="AS109" s="53"/>
      <c r="AT109" s="53"/>
      <c r="AU109" s="50"/>
      <c r="AV109" s="53"/>
      <c r="AW109" s="53"/>
      <c r="AX109" s="50"/>
      <c r="AY109" s="53"/>
      <c r="AZ109" s="53"/>
      <c r="BA109" s="50"/>
      <c r="BB109" s="53"/>
      <c r="BC109" s="53"/>
      <c r="BD109" s="50"/>
    </row>
    <row r="110" spans="1:56" ht="25.5" customHeight="1" x14ac:dyDescent="0.2">
      <c r="A110" s="49" t="s">
        <v>286</v>
      </c>
      <c r="B110" s="49"/>
      <c r="C110" s="49" t="s">
        <v>142</v>
      </c>
      <c r="D110" s="70" t="s">
        <v>282</v>
      </c>
      <c r="E110" s="50" t="s">
        <v>287</v>
      </c>
      <c r="F110" s="49" t="s">
        <v>123</v>
      </c>
      <c r="G110" s="51">
        <v>46142</v>
      </c>
      <c r="H110" s="51">
        <v>46264</v>
      </c>
      <c r="I110" s="54"/>
      <c r="J110" s="51"/>
      <c r="K110" s="49" t="s">
        <v>285</v>
      </c>
      <c r="L110" s="49" t="s">
        <v>192</v>
      </c>
      <c r="M110" s="49" t="s">
        <v>193</v>
      </c>
      <c r="N110" s="51"/>
      <c r="O110" s="49"/>
      <c r="P110" s="51"/>
      <c r="Q110" s="49"/>
      <c r="R110" s="51"/>
      <c r="S110" s="49"/>
      <c r="T110" s="54"/>
      <c r="U110" s="55" t="str">
        <f t="shared" si="5"/>
        <v/>
      </c>
      <c r="V110" s="51"/>
      <c r="W110" s="49"/>
      <c r="X110" s="51"/>
      <c r="Y110" s="49"/>
      <c r="Z110" s="52" t="str">
        <f>IF($B110="","",IF(AND(OR(K109="Đã phát hành",K109="Hoàn thiện"),M110="Đã bàn giao"),"✔","✘"))</f>
        <v/>
      </c>
      <c r="AA110" s="52" t="str">
        <f t="shared" si="6"/>
        <v/>
      </c>
      <c r="AB110" s="52" t="str">
        <f t="shared" si="7"/>
        <v/>
      </c>
      <c r="AC110" s="52" t="str">
        <f t="shared" si="8"/>
        <v/>
      </c>
      <c r="AD110" s="51"/>
      <c r="AE110" s="52" t="str">
        <f>IF($B110="","",COUNTIFS('01_HSo TienKC'!$B:$B,$B110,'01_HSo TienKC'!$J:$J,"Đã duyệt"))</f>
        <v/>
      </c>
      <c r="AF110" s="39"/>
      <c r="AG110" s="39"/>
      <c r="AH110" s="39"/>
      <c r="AI110" s="52" t="str">
        <f>IF($B110="","",COUNTIFS('02_KH Thang_Tuan'!$B:$B,$B110,'02_KH Thang_Tuan'!$J:$J,"Đã duyệt")&amp;"/"&amp;COUNTIFS('02_KH Thang_Tuan'!$B:$B,$B110))</f>
        <v/>
      </c>
      <c r="AJ110" s="52" t="str">
        <f>IF($B110="","",COUNTIFS('03_Phat sinh'!$C:$C,$B110,'03_Phat sinh'!$M:$M,"&lt;&gt;Đã duyệt"))</f>
        <v/>
      </c>
      <c r="AK110" s="52" t="str">
        <f>IF($B110="","",COUNTIFS('04_CU dac thu'!$C:$C,$B110,'04_CU dac thu'!$N:$N,"&lt;&gt;Đã duyệt"))</f>
        <v/>
      </c>
      <c r="AL110" s="52" t="str">
        <f>IF($B110="","",COUNTIFS('05_Bu tien do'!$B:$B,$B110,'05_Bu tien do'!$N:$N,"&lt;&gt;Đã hoàn thành"))</f>
        <v/>
      </c>
      <c r="AM110" s="53"/>
      <c r="AN110" s="53"/>
      <c r="AO110" s="50"/>
      <c r="AP110" s="53"/>
      <c r="AQ110" s="53"/>
      <c r="AR110" s="50"/>
      <c r="AS110" s="53"/>
      <c r="AT110" s="53"/>
      <c r="AU110" s="50"/>
      <c r="AV110" s="53"/>
      <c r="AW110" s="53"/>
      <c r="AX110" s="50"/>
      <c r="AY110" s="53"/>
      <c r="AZ110" s="53"/>
      <c r="BA110" s="50"/>
      <c r="BB110" s="53"/>
      <c r="BC110" s="53"/>
      <c r="BD110" s="50"/>
    </row>
    <row r="111" spans="1:56" ht="37.5" customHeight="1" x14ac:dyDescent="0.2">
      <c r="A111" s="69">
        <v>12</v>
      </c>
      <c r="B111" s="69">
        <v>12</v>
      </c>
      <c r="C111" s="69" t="s">
        <v>288</v>
      </c>
      <c r="D111" s="69" t="s">
        <v>261</v>
      </c>
      <c r="E111" s="70" t="s">
        <v>289</v>
      </c>
      <c r="F111" s="69"/>
      <c r="G111" s="71">
        <v>45777</v>
      </c>
      <c r="H111" s="71">
        <v>46264</v>
      </c>
      <c r="I111" s="72"/>
      <c r="J111" s="71"/>
      <c r="K111" s="69"/>
      <c r="L111" s="69"/>
      <c r="M111" s="69"/>
      <c r="N111" s="71"/>
      <c r="O111" s="69"/>
      <c r="P111" s="71"/>
      <c r="Q111" s="69"/>
      <c r="R111" s="71"/>
      <c r="S111" s="69"/>
      <c r="T111" s="72"/>
      <c r="U111" s="72" t="str">
        <f t="shared" si="5"/>
        <v/>
      </c>
      <c r="V111" s="71"/>
      <c r="W111" s="69"/>
      <c r="X111" s="71"/>
      <c r="Y111" s="69"/>
      <c r="Z111" s="69" t="str">
        <f>IF($B111="","",IF(AND(OR(K111="Đã phát hành",K111="Hoàn thiện"),M111="Đã bàn giao"),"✔","✘"))</f>
        <v>✘</v>
      </c>
      <c r="AA111" s="69" t="str">
        <f t="shared" si="6"/>
        <v>✘</v>
      </c>
      <c r="AB111" s="69" t="str">
        <f t="shared" si="7"/>
        <v>✘</v>
      </c>
      <c r="AC111" s="69" t="str">
        <f t="shared" si="8"/>
        <v>THIẾU ĐK</v>
      </c>
      <c r="AD111" s="71">
        <v>46174</v>
      </c>
      <c r="AE111" s="69">
        <f>IF($B111="","",COUNTIFS('01_HSo TienKC'!$B:$B,$B111,'01_HSo TienKC'!$J:$J,"Đã duyệt"))</f>
        <v>0</v>
      </c>
      <c r="AF111" s="73"/>
      <c r="AG111" s="73"/>
      <c r="AH111" s="73"/>
      <c r="AI111" s="69" t="str">
        <f>IF($B111="","",COUNTIFS('02_KH Thang_Tuan'!$B:$B,$B111,'02_KH Thang_Tuan'!$J:$J,"Đã duyệt")&amp;"/"&amp;COUNTIFS('02_KH Thang_Tuan'!$B:$B,$B111))</f>
        <v>0/0</v>
      </c>
      <c r="AJ111" s="69">
        <f>IF($B111="","",COUNTIFS('03_Phat sinh'!$C:$C,$B111,'03_Phat sinh'!$M:$M,"&lt;&gt;Đã duyệt"))</f>
        <v>0</v>
      </c>
      <c r="AK111" s="69">
        <f>IF($B111="","",COUNTIFS('04_CU dac thu'!$C:$C,$B111,'04_CU dac thu'!$N:$N,"&lt;&gt;Đã duyệt"))</f>
        <v>0</v>
      </c>
      <c r="AL111" s="69">
        <f>IF($B111="","",COUNTIFS('05_Bu tien do'!$B:$B,$B111,'05_Bu tien do'!$N:$N,"&lt;&gt;Đã hoàn thành"))</f>
        <v>0</v>
      </c>
      <c r="AM111" s="74">
        <v>0.25</v>
      </c>
      <c r="AN111" s="74">
        <v>0.22</v>
      </c>
      <c r="AO111" s="70" t="s">
        <v>137</v>
      </c>
      <c r="AP111" s="74">
        <v>0.25</v>
      </c>
      <c r="AQ111" s="74">
        <v>0.22</v>
      </c>
      <c r="AR111" s="70" t="s">
        <v>137</v>
      </c>
      <c r="AS111" s="74">
        <v>0.06</v>
      </c>
      <c r="AT111" s="74">
        <v>0.06</v>
      </c>
      <c r="AU111" s="70"/>
      <c r="AV111" s="74">
        <v>0.12</v>
      </c>
      <c r="AW111" s="74">
        <v>0.11</v>
      </c>
      <c r="AX111" s="70" t="s">
        <v>138</v>
      </c>
      <c r="AY111" s="74">
        <v>0.19</v>
      </c>
      <c r="AZ111" s="74">
        <v>0.16</v>
      </c>
      <c r="BA111" s="70" t="s">
        <v>139</v>
      </c>
      <c r="BB111" s="74">
        <v>0.25</v>
      </c>
      <c r="BC111" s="74">
        <v>0.22</v>
      </c>
      <c r="BD111" s="70" t="s">
        <v>140</v>
      </c>
    </row>
    <row r="112" spans="1:56" ht="25.5" customHeight="1" x14ac:dyDescent="0.2">
      <c r="A112" s="49" t="s">
        <v>290</v>
      </c>
      <c r="B112" s="49"/>
      <c r="C112" s="49" t="s">
        <v>142</v>
      </c>
      <c r="D112" s="70" t="s">
        <v>289</v>
      </c>
      <c r="E112" s="50" t="s">
        <v>291</v>
      </c>
      <c r="F112" s="49" t="s">
        <v>136</v>
      </c>
      <c r="G112" s="51">
        <v>46234</v>
      </c>
      <c r="H112" s="51">
        <v>46264</v>
      </c>
      <c r="I112" s="54"/>
      <c r="J112" s="51"/>
      <c r="K112" s="49" t="s">
        <v>124</v>
      </c>
      <c r="L112" s="49" t="s">
        <v>125</v>
      </c>
      <c r="M112" s="49" t="s">
        <v>126</v>
      </c>
      <c r="N112" s="51"/>
      <c r="O112" s="49"/>
      <c r="P112" s="51"/>
      <c r="Q112" s="49"/>
      <c r="R112" s="51"/>
      <c r="S112" s="49"/>
      <c r="T112" s="54"/>
      <c r="U112" s="55" t="str">
        <f t="shared" si="5"/>
        <v/>
      </c>
      <c r="V112" s="51"/>
      <c r="W112" s="49"/>
      <c r="X112" s="51"/>
      <c r="Y112" s="49"/>
      <c r="Z112" s="52" t="str">
        <f>IF($B112="","",IF(AND(OR(#REF!="Đã phát hành",#REF!="Hoàn thiện"),M112="Đã bàn giao"),"✔","✘"))</f>
        <v/>
      </c>
      <c r="AA112" s="52" t="str">
        <f t="shared" si="6"/>
        <v/>
      </c>
      <c r="AB112" s="52" t="str">
        <f t="shared" si="7"/>
        <v/>
      </c>
      <c r="AC112" s="52" t="str">
        <f t="shared" si="8"/>
        <v/>
      </c>
      <c r="AD112" s="51"/>
      <c r="AE112" s="52" t="str">
        <f>IF($B112="","",COUNTIFS('01_HSo TienKC'!$B:$B,$B112,'01_HSo TienKC'!$J:$J,"Đã duyệt"))</f>
        <v/>
      </c>
      <c r="AF112" s="39"/>
      <c r="AG112" s="39"/>
      <c r="AH112" s="39"/>
      <c r="AI112" s="52" t="str">
        <f>IF($B112="","",COUNTIFS('02_KH Thang_Tuan'!$B:$B,$B112,'02_KH Thang_Tuan'!$J:$J,"Đã duyệt")&amp;"/"&amp;COUNTIFS('02_KH Thang_Tuan'!$B:$B,$B112))</f>
        <v/>
      </c>
      <c r="AJ112" s="52" t="str">
        <f>IF($B112="","",COUNTIFS('03_Phat sinh'!$C:$C,$B112,'03_Phat sinh'!$M:$M,"&lt;&gt;Đã duyệt"))</f>
        <v/>
      </c>
      <c r="AK112" s="52" t="str">
        <f>IF($B112="","",COUNTIFS('04_CU dac thu'!$C:$C,$B112,'04_CU dac thu'!$N:$N,"&lt;&gt;Đã duyệt"))</f>
        <v/>
      </c>
      <c r="AL112" s="52" t="str">
        <f>IF($B112="","",COUNTIFS('05_Bu tien do'!$B:$B,$B112,'05_Bu tien do'!$N:$N,"&lt;&gt;Đã hoàn thành"))</f>
        <v/>
      </c>
      <c r="AM112" s="53"/>
      <c r="AN112" s="53"/>
      <c r="AO112" s="50"/>
      <c r="AP112" s="53"/>
      <c r="AQ112" s="53"/>
      <c r="AR112" s="50"/>
      <c r="AS112" s="53"/>
      <c r="AT112" s="53"/>
      <c r="AU112" s="50"/>
      <c r="AV112" s="53"/>
      <c r="AW112" s="53"/>
      <c r="AX112" s="50"/>
      <c r="AY112" s="53"/>
      <c r="AZ112" s="53"/>
      <c r="BA112" s="50"/>
      <c r="BB112" s="53"/>
      <c r="BC112" s="53"/>
      <c r="BD112" s="50"/>
    </row>
    <row r="113" spans="1:56" ht="25.5" customHeight="1" x14ac:dyDescent="0.2">
      <c r="A113" s="49"/>
      <c r="B113" s="49"/>
      <c r="C113" s="49"/>
      <c r="D113" s="49"/>
      <c r="E113" s="50"/>
      <c r="F113" s="49"/>
      <c r="G113" s="51"/>
      <c r="H113" s="51"/>
      <c r="I113" s="54"/>
      <c r="J113" s="51"/>
      <c r="K113" s="49"/>
      <c r="L113" s="49"/>
      <c r="M113" s="49"/>
      <c r="N113" s="51"/>
      <c r="O113" s="49"/>
      <c r="P113" s="51"/>
      <c r="Q113" s="49"/>
      <c r="R113" s="51"/>
      <c r="S113" s="49"/>
      <c r="T113" s="54"/>
      <c r="U113" s="55" t="str">
        <f t="shared" si="5"/>
        <v/>
      </c>
      <c r="V113" s="51"/>
      <c r="W113" s="49"/>
      <c r="X113" s="51"/>
      <c r="Y113" s="49"/>
      <c r="Z113" s="52" t="str">
        <f>IF($B113="","",IF(AND(OR(K112="Đã phát hành",K112="Hoàn thiện"),M113="Đã bàn giao"),"✔","✘"))</f>
        <v/>
      </c>
      <c r="AA113" s="52" t="str">
        <f t="shared" si="6"/>
        <v/>
      </c>
      <c r="AB113" s="52" t="str">
        <f t="shared" si="7"/>
        <v/>
      </c>
      <c r="AC113" s="52" t="str">
        <f t="shared" si="8"/>
        <v/>
      </c>
      <c r="AD113" s="51"/>
      <c r="AE113" s="52" t="str">
        <f>IF($B113="","",COUNTIFS('01_HSo TienKC'!$B:$B,$B113,'01_HSo TienKC'!$J:$J,"Đã duyệt"))</f>
        <v/>
      </c>
      <c r="AF113" s="39"/>
      <c r="AG113" s="39"/>
      <c r="AH113" s="39"/>
      <c r="AI113" s="52" t="str">
        <f>IF($B113="","",COUNTIFS('02_KH Thang_Tuan'!$B:$B,$B113,'02_KH Thang_Tuan'!$J:$J,"Đã duyệt")&amp;"/"&amp;COUNTIFS('02_KH Thang_Tuan'!$B:$B,$B113))</f>
        <v/>
      </c>
      <c r="AJ113" s="52" t="str">
        <f>IF($B113="","",COUNTIFS('03_Phat sinh'!$C:$C,$B113,'03_Phat sinh'!$M:$M,"&lt;&gt;Đã duyệt"))</f>
        <v/>
      </c>
      <c r="AK113" s="52" t="str">
        <f>IF($B113="","",COUNTIFS('04_CU dac thu'!$C:$C,$B113,'04_CU dac thu'!$N:$N,"&lt;&gt;Đã duyệt"))</f>
        <v/>
      </c>
      <c r="AL113" s="52" t="str">
        <f>IF($B113="","",COUNTIFS('05_Bu tien do'!$B:$B,$B113,'05_Bu tien do'!$N:$N,"&lt;&gt;Đã hoàn thành"))</f>
        <v/>
      </c>
      <c r="AM113" s="53"/>
      <c r="AN113" s="53"/>
      <c r="AO113" s="50"/>
      <c r="AP113" s="53"/>
      <c r="AQ113" s="53"/>
      <c r="AR113" s="50"/>
      <c r="AS113" s="53"/>
      <c r="AT113" s="53"/>
      <c r="AU113" s="50"/>
      <c r="AV113" s="53"/>
      <c r="AW113" s="53"/>
      <c r="AX113" s="50"/>
      <c r="AY113" s="53"/>
      <c r="AZ113" s="53"/>
      <c r="BA113" s="50"/>
      <c r="BB113" s="53"/>
      <c r="BC113" s="53"/>
      <c r="BD113" s="50"/>
    </row>
    <row r="114" spans="1:56" ht="25.5" customHeight="1" x14ac:dyDescent="0.2">
      <c r="A114" s="49"/>
      <c r="B114" s="49"/>
      <c r="C114" s="49"/>
      <c r="D114" s="49"/>
      <c r="E114" s="50"/>
      <c r="F114" s="49"/>
      <c r="G114" s="51"/>
      <c r="H114" s="51"/>
      <c r="I114" s="54"/>
      <c r="J114" s="51"/>
      <c r="K114" s="49"/>
      <c r="L114" s="49"/>
      <c r="M114" s="49"/>
      <c r="N114" s="51"/>
      <c r="O114" s="49"/>
      <c r="P114" s="51"/>
      <c r="Q114" s="49"/>
      <c r="R114" s="51"/>
      <c r="S114" s="49"/>
      <c r="T114" s="54"/>
      <c r="U114" s="55"/>
      <c r="V114" s="51"/>
      <c r="W114" s="49"/>
      <c r="X114" s="51"/>
      <c r="Y114" s="49"/>
      <c r="Z114" s="52"/>
      <c r="AA114" s="52"/>
      <c r="AB114" s="52"/>
      <c r="AC114" s="52"/>
      <c r="AD114" s="51"/>
      <c r="AE114" s="52"/>
      <c r="AF114" s="39"/>
      <c r="AG114" s="39"/>
      <c r="AH114" s="39"/>
      <c r="AI114" s="52"/>
      <c r="AJ114" s="52"/>
      <c r="AK114" s="52"/>
      <c r="AL114" s="52"/>
      <c r="AM114" s="53"/>
      <c r="AN114" s="53"/>
      <c r="AO114" s="50"/>
      <c r="AP114" s="53"/>
      <c r="AQ114" s="53"/>
      <c r="AR114" s="50"/>
      <c r="AS114" s="53"/>
      <c r="AT114" s="53"/>
      <c r="AU114" s="50"/>
      <c r="AV114" s="53"/>
      <c r="AW114" s="53"/>
      <c r="AX114" s="50"/>
      <c r="AY114" s="53"/>
      <c r="AZ114" s="53"/>
      <c r="BA114" s="50"/>
      <c r="BB114" s="53"/>
      <c r="BC114" s="53"/>
      <c r="BD114" s="50"/>
    </row>
    <row r="115" spans="1:56" ht="25.5" customHeight="1" x14ac:dyDescent="0.2">
      <c r="A115" s="49"/>
      <c r="B115" s="49"/>
      <c r="C115" s="49"/>
      <c r="D115" s="49"/>
      <c r="E115" s="50"/>
      <c r="F115" s="49"/>
      <c r="G115" s="51"/>
      <c r="H115" s="51"/>
      <c r="I115" s="54"/>
      <c r="J115" s="51"/>
      <c r="K115" s="49"/>
      <c r="L115" s="49"/>
      <c r="M115" s="49"/>
      <c r="N115" s="51"/>
      <c r="O115" s="49"/>
      <c r="P115" s="51"/>
      <c r="Q115" s="49"/>
      <c r="R115" s="51"/>
      <c r="S115" s="49"/>
      <c r="T115" s="54"/>
      <c r="U115" s="55"/>
      <c r="V115" s="51"/>
      <c r="W115" s="49"/>
      <c r="X115" s="51"/>
      <c r="Y115" s="49"/>
      <c r="Z115" s="52"/>
      <c r="AA115" s="52"/>
      <c r="AB115" s="52"/>
      <c r="AC115" s="52"/>
      <c r="AD115" s="51"/>
      <c r="AE115" s="52"/>
      <c r="AF115" s="39"/>
      <c r="AG115" s="39"/>
      <c r="AH115" s="39"/>
      <c r="AI115" s="52"/>
      <c r="AJ115" s="52"/>
      <c r="AK115" s="52"/>
      <c r="AL115" s="52"/>
      <c r="AM115" s="53"/>
      <c r="AN115" s="53"/>
      <c r="AO115" s="50"/>
      <c r="AP115" s="53"/>
      <c r="AQ115" s="53"/>
      <c r="AR115" s="50"/>
      <c r="AS115" s="53"/>
      <c r="AT115" s="53"/>
      <c r="AU115" s="50"/>
      <c r="AV115" s="53"/>
      <c r="AW115" s="53"/>
      <c r="AX115" s="50"/>
      <c r="AY115" s="53"/>
      <c r="AZ115" s="53"/>
      <c r="BA115" s="50"/>
      <c r="BB115" s="53"/>
      <c r="BC115" s="53"/>
      <c r="BD115" s="50"/>
    </row>
    <row r="116" spans="1:56" ht="25.5" customHeight="1" x14ac:dyDescent="0.2">
      <c r="A116" s="49"/>
      <c r="B116" s="49"/>
      <c r="C116" s="49"/>
      <c r="D116" s="49"/>
      <c r="E116" s="50"/>
      <c r="F116" s="49"/>
      <c r="G116" s="51"/>
      <c r="H116" s="51"/>
      <c r="I116" s="54"/>
      <c r="J116" s="51"/>
      <c r="K116" s="49"/>
      <c r="L116" s="49"/>
      <c r="M116" s="49"/>
      <c r="N116" s="51"/>
      <c r="O116" s="49"/>
      <c r="P116" s="51"/>
      <c r="Q116" s="49"/>
      <c r="R116" s="51"/>
      <c r="S116" s="49"/>
      <c r="T116" s="54"/>
      <c r="U116" s="55"/>
      <c r="V116" s="51"/>
      <c r="W116" s="49"/>
      <c r="X116" s="51"/>
      <c r="Y116" s="49"/>
      <c r="Z116" s="52"/>
      <c r="AA116" s="52"/>
      <c r="AB116" s="52"/>
      <c r="AC116" s="52"/>
      <c r="AD116" s="51"/>
      <c r="AE116" s="52"/>
      <c r="AF116" s="39"/>
      <c r="AG116" s="39"/>
      <c r="AH116" s="39"/>
      <c r="AI116" s="52"/>
      <c r="AJ116" s="52"/>
      <c r="AK116" s="52"/>
      <c r="AL116" s="52"/>
      <c r="AM116" s="53"/>
      <c r="AN116" s="53"/>
      <c r="AO116" s="50"/>
      <c r="AP116" s="53"/>
      <c r="AQ116" s="53"/>
      <c r="AR116" s="50"/>
      <c r="AS116" s="53"/>
      <c r="AT116" s="53"/>
      <c r="AU116" s="50"/>
      <c r="AV116" s="53"/>
      <c r="AW116" s="53"/>
      <c r="AX116" s="50"/>
      <c r="AY116" s="53"/>
      <c r="AZ116" s="53"/>
      <c r="BA116" s="50"/>
      <c r="BB116" s="53"/>
      <c r="BC116" s="53"/>
      <c r="BD116" s="50"/>
    </row>
    <row r="117" spans="1:56" ht="25.5" customHeight="1" x14ac:dyDescent="0.2">
      <c r="A117" s="49"/>
      <c r="B117" s="49"/>
      <c r="C117" s="49"/>
      <c r="D117" s="49"/>
      <c r="E117" s="50"/>
      <c r="F117" s="49"/>
      <c r="G117" s="51"/>
      <c r="H117" s="51"/>
      <c r="I117" s="54"/>
      <c r="J117" s="51"/>
      <c r="K117" s="49"/>
      <c r="L117" s="49"/>
      <c r="M117" s="49"/>
      <c r="N117" s="51"/>
      <c r="O117" s="49"/>
      <c r="P117" s="51"/>
      <c r="Q117" s="49"/>
      <c r="R117" s="51"/>
      <c r="S117" s="49"/>
      <c r="T117" s="54"/>
      <c r="U117" s="55"/>
      <c r="V117" s="51"/>
      <c r="W117" s="49"/>
      <c r="X117" s="51"/>
      <c r="Y117" s="49"/>
      <c r="Z117" s="52"/>
      <c r="AA117" s="52"/>
      <c r="AB117" s="52"/>
      <c r="AC117" s="52"/>
      <c r="AD117" s="51"/>
      <c r="AE117" s="52"/>
      <c r="AF117" s="39"/>
      <c r="AG117" s="39"/>
      <c r="AH117" s="39"/>
      <c r="AI117" s="52"/>
      <c r="AJ117" s="52"/>
      <c r="AK117" s="52"/>
      <c r="AL117" s="52"/>
      <c r="AM117" s="53"/>
      <c r="AN117" s="53"/>
      <c r="AO117" s="50"/>
      <c r="AP117" s="53"/>
      <c r="AQ117" s="53"/>
      <c r="AR117" s="50"/>
      <c r="AS117" s="53"/>
      <c r="AT117" s="53"/>
      <c r="AU117" s="50"/>
      <c r="AV117" s="53"/>
      <c r="AW117" s="53"/>
      <c r="AX117" s="50"/>
      <c r="AY117" s="53"/>
      <c r="AZ117" s="53"/>
      <c r="BA117" s="50"/>
      <c r="BB117" s="53"/>
      <c r="BC117" s="53"/>
      <c r="BD117" s="50"/>
    </row>
    <row r="118" spans="1:56" ht="25.5" customHeight="1" x14ac:dyDescent="0.2">
      <c r="A118" s="49"/>
      <c r="B118" s="49"/>
      <c r="C118" s="49"/>
      <c r="D118" s="49"/>
      <c r="E118" s="50"/>
      <c r="F118" s="49"/>
      <c r="G118" s="51"/>
      <c r="H118" s="51"/>
      <c r="I118" s="54"/>
      <c r="J118" s="51"/>
      <c r="K118" s="49"/>
      <c r="L118" s="49"/>
      <c r="M118" s="49"/>
      <c r="N118" s="51"/>
      <c r="O118" s="49"/>
      <c r="P118" s="51"/>
      <c r="Q118" s="49"/>
      <c r="R118" s="51"/>
      <c r="S118" s="49"/>
      <c r="T118" s="54"/>
      <c r="U118" s="55"/>
      <c r="V118" s="51"/>
      <c r="W118" s="49"/>
      <c r="X118" s="51"/>
      <c r="Y118" s="49"/>
      <c r="Z118" s="52"/>
      <c r="AA118" s="52"/>
      <c r="AB118" s="52"/>
      <c r="AC118" s="52"/>
      <c r="AD118" s="51"/>
      <c r="AE118" s="52"/>
      <c r="AF118" s="39"/>
      <c r="AG118" s="39"/>
      <c r="AH118" s="39"/>
      <c r="AI118" s="52"/>
      <c r="AJ118" s="52"/>
      <c r="AK118" s="52"/>
      <c r="AL118" s="52"/>
      <c r="AM118" s="53"/>
      <c r="AN118" s="53"/>
      <c r="AO118" s="50"/>
      <c r="AP118" s="53"/>
      <c r="AQ118" s="53"/>
      <c r="AR118" s="50"/>
      <c r="AS118" s="53"/>
      <c r="AT118" s="53"/>
      <c r="AU118" s="50"/>
      <c r="AV118" s="53"/>
      <c r="AW118" s="53"/>
      <c r="AX118" s="50"/>
      <c r="AY118" s="53"/>
      <c r="AZ118" s="53"/>
      <c r="BA118" s="50"/>
      <c r="BB118" s="53"/>
      <c r="BC118" s="53"/>
      <c r="BD118" s="50"/>
    </row>
    <row r="119" spans="1:56" ht="25.5" customHeight="1" x14ac:dyDescent="0.2">
      <c r="A119" s="49"/>
      <c r="B119" s="49"/>
      <c r="C119" s="49"/>
      <c r="D119" s="49"/>
      <c r="E119" s="50"/>
      <c r="F119" s="49"/>
      <c r="G119" s="51"/>
      <c r="H119" s="51"/>
      <c r="I119" s="54"/>
      <c r="J119" s="51"/>
      <c r="K119" s="49"/>
      <c r="L119" s="49"/>
      <c r="M119" s="49"/>
      <c r="N119" s="51"/>
      <c r="O119" s="49"/>
      <c r="P119" s="51"/>
      <c r="Q119" s="49"/>
      <c r="R119" s="51"/>
      <c r="S119" s="49"/>
      <c r="T119" s="54"/>
      <c r="U119" s="55"/>
      <c r="V119" s="51"/>
      <c r="W119" s="49"/>
      <c r="X119" s="51"/>
      <c r="Y119" s="49"/>
      <c r="Z119" s="52"/>
      <c r="AA119" s="52"/>
      <c r="AB119" s="52"/>
      <c r="AC119" s="52"/>
      <c r="AD119" s="51"/>
      <c r="AE119" s="52"/>
      <c r="AF119" s="39"/>
      <c r="AG119" s="39"/>
      <c r="AH119" s="39"/>
      <c r="AI119" s="52"/>
      <c r="AJ119" s="52"/>
      <c r="AK119" s="52"/>
      <c r="AL119" s="52"/>
      <c r="AM119" s="53"/>
      <c r="AN119" s="53"/>
      <c r="AO119" s="50"/>
      <c r="AP119" s="53"/>
      <c r="AQ119" s="53"/>
      <c r="AR119" s="50"/>
      <c r="AS119" s="53"/>
      <c r="AT119" s="53"/>
      <c r="AU119" s="50"/>
      <c r="AV119" s="53"/>
      <c r="AW119" s="53"/>
      <c r="AX119" s="50"/>
      <c r="AY119" s="53"/>
      <c r="AZ119" s="53"/>
      <c r="BA119" s="50"/>
      <c r="BB119" s="53"/>
      <c r="BC119" s="53"/>
      <c r="BD119" s="50"/>
    </row>
    <row r="120" spans="1:56" ht="25.5" customHeight="1" x14ac:dyDescent="0.2">
      <c r="A120" s="49"/>
      <c r="B120" s="49"/>
      <c r="C120" s="49"/>
      <c r="D120" s="49"/>
      <c r="E120" s="50"/>
      <c r="F120" s="49"/>
      <c r="G120" s="51"/>
      <c r="H120" s="51"/>
      <c r="I120" s="54"/>
      <c r="J120" s="51"/>
      <c r="K120" s="49"/>
      <c r="L120" s="49"/>
      <c r="M120" s="49"/>
      <c r="N120" s="51"/>
      <c r="O120" s="49"/>
      <c r="P120" s="51"/>
      <c r="Q120" s="49"/>
      <c r="R120" s="51"/>
      <c r="S120" s="49"/>
      <c r="T120" s="54"/>
      <c r="U120" s="55"/>
      <c r="V120" s="51"/>
      <c r="W120" s="49"/>
      <c r="X120" s="51"/>
      <c r="Y120" s="49"/>
      <c r="Z120" s="52"/>
      <c r="AA120" s="52"/>
      <c r="AB120" s="52"/>
      <c r="AC120" s="52"/>
      <c r="AD120" s="51"/>
      <c r="AE120" s="52"/>
      <c r="AF120" s="39"/>
      <c r="AG120" s="39"/>
      <c r="AH120" s="39"/>
      <c r="AI120" s="52"/>
      <c r="AJ120" s="52"/>
      <c r="AK120" s="52"/>
      <c r="AL120" s="52"/>
      <c r="AM120" s="53"/>
      <c r="AN120" s="53"/>
      <c r="AO120" s="50"/>
      <c r="AP120" s="53"/>
      <c r="AQ120" s="53"/>
      <c r="AR120" s="50"/>
      <c r="AS120" s="53"/>
      <c r="AT120" s="53"/>
      <c r="AU120" s="50"/>
      <c r="AV120" s="53"/>
      <c r="AW120" s="53"/>
      <c r="AX120" s="50"/>
      <c r="AY120" s="53"/>
      <c r="AZ120" s="53"/>
      <c r="BA120" s="50"/>
      <c r="BB120" s="53"/>
      <c r="BC120" s="53"/>
      <c r="BD120" s="50"/>
    </row>
    <row r="121" spans="1:56" x14ac:dyDescent="0.2">
      <c r="A121" s="49"/>
      <c r="B121" s="49"/>
      <c r="C121" s="49"/>
      <c r="D121" s="49"/>
      <c r="E121" s="49"/>
      <c r="F121" s="49"/>
      <c r="G121" s="51"/>
      <c r="H121" s="51"/>
      <c r="I121" s="54"/>
      <c r="J121" s="51"/>
      <c r="K121" s="49"/>
      <c r="L121" s="49"/>
      <c r="M121" s="49"/>
      <c r="N121" s="51"/>
      <c r="O121" s="49"/>
      <c r="P121" s="51"/>
      <c r="Q121" s="49"/>
      <c r="R121" s="51"/>
      <c r="S121" s="49"/>
      <c r="T121" s="54"/>
      <c r="U121" s="55" t="str">
        <f t="shared" si="0"/>
        <v/>
      </c>
      <c r="V121" s="51"/>
      <c r="W121" s="49"/>
      <c r="X121" s="51"/>
      <c r="Y121" s="49"/>
      <c r="Z121" s="52" t="str">
        <f t="shared" si="1"/>
        <v/>
      </c>
      <c r="AA121" s="52" t="str">
        <f t="shared" si="2"/>
        <v/>
      </c>
      <c r="AB121" s="52" t="str">
        <f t="shared" si="3"/>
        <v/>
      </c>
      <c r="AC121" s="52" t="str">
        <f t="shared" si="4"/>
        <v/>
      </c>
      <c r="AD121" s="51"/>
      <c r="AE121" s="52" t="str">
        <f>IF($B121="","",COUNTIFS('01_HSo TienKC'!$B:$B,$B121,'01_HSo TienKC'!$J:$J,"Đã duyệt"))</f>
        <v/>
      </c>
      <c r="AF121" s="38"/>
      <c r="AG121" s="38"/>
      <c r="AH121" s="38"/>
      <c r="AI121" s="52" t="str">
        <f>IF($B121="","",COUNTIFS('02_KH Thang_Tuan'!$B:$B,$B121,'02_KH Thang_Tuan'!$J:$J,"Đã duyệt")&amp;"/"&amp;COUNTIFS('02_KH Thang_Tuan'!$B:$B,$B121))</f>
        <v/>
      </c>
      <c r="AJ121" s="52" t="str">
        <f>IF($B121="","",COUNTIFS('03_Phat sinh'!$C:$C,$B121,'03_Phat sinh'!$M:$M,"&lt;&gt;Đã duyệt"))</f>
        <v/>
      </c>
      <c r="AK121" s="52" t="str">
        <f>IF($B121="","",COUNTIFS('04_CU dac thu'!$C:$C,$B121,'04_CU dac thu'!$N:$N,"&lt;&gt;Đã duyệt"))</f>
        <v/>
      </c>
      <c r="AL121" s="52" t="str">
        <f>IF($B121="","",COUNTIFS('05_Bu tien do'!$B:$B,$B121,'05_Bu tien do'!$N:$N,"&lt;&gt;Đã hoàn thành"))</f>
        <v/>
      </c>
      <c r="AM121" s="53"/>
      <c r="AN121" s="53"/>
      <c r="AO121" s="49"/>
      <c r="AP121" s="53"/>
      <c r="AQ121" s="53"/>
      <c r="AR121" s="49"/>
      <c r="AS121" s="53"/>
      <c r="AT121" s="53"/>
      <c r="AU121" s="49"/>
      <c r="AV121" s="53"/>
      <c r="AW121" s="53"/>
      <c r="AX121" s="49"/>
      <c r="AY121" s="53"/>
      <c r="AZ121" s="53"/>
      <c r="BA121" s="49"/>
      <c r="BB121" s="53"/>
      <c r="BC121" s="53"/>
      <c r="BD121" s="49"/>
    </row>
    <row r="122" spans="1:56" x14ac:dyDescent="0.2">
      <c r="A122" s="49"/>
      <c r="B122" s="49"/>
      <c r="C122" s="49"/>
      <c r="D122" s="49"/>
      <c r="E122" s="49"/>
      <c r="F122" s="49"/>
      <c r="G122" s="51"/>
      <c r="H122" s="51"/>
      <c r="I122" s="54"/>
      <c r="J122" s="51"/>
      <c r="K122" s="49"/>
      <c r="L122" s="49"/>
      <c r="M122" s="49"/>
      <c r="N122" s="51"/>
      <c r="O122" s="49"/>
      <c r="P122" s="51"/>
      <c r="Q122" s="49"/>
      <c r="R122" s="51"/>
      <c r="S122" s="49"/>
      <c r="T122" s="54"/>
      <c r="U122" s="55" t="str">
        <f t="shared" si="0"/>
        <v/>
      </c>
      <c r="V122" s="51"/>
      <c r="W122" s="49"/>
      <c r="X122" s="51"/>
      <c r="Y122" s="49"/>
      <c r="Z122" s="52" t="str">
        <f t="shared" si="1"/>
        <v/>
      </c>
      <c r="AA122" s="52" t="str">
        <f t="shared" si="2"/>
        <v/>
      </c>
      <c r="AB122" s="52" t="str">
        <f t="shared" si="3"/>
        <v/>
      </c>
      <c r="AC122" s="52" t="str">
        <f t="shared" si="4"/>
        <v/>
      </c>
      <c r="AD122" s="51"/>
      <c r="AE122" s="52" t="str">
        <f>IF($B122="","",COUNTIFS('01_HSo TienKC'!$B:$B,$B122,'01_HSo TienKC'!$J:$J,"Đã duyệt"))</f>
        <v/>
      </c>
      <c r="AF122" s="38"/>
      <c r="AG122" s="38"/>
      <c r="AH122" s="38"/>
      <c r="AI122" s="52" t="str">
        <f>IF($B122="","",COUNTIFS('02_KH Thang_Tuan'!$B:$B,$B122,'02_KH Thang_Tuan'!$J:$J,"Đã duyệt")&amp;"/"&amp;COUNTIFS('02_KH Thang_Tuan'!$B:$B,$B122))</f>
        <v/>
      </c>
      <c r="AJ122" s="52" t="str">
        <f>IF($B122="","",COUNTIFS('03_Phat sinh'!$C:$C,$B122,'03_Phat sinh'!$M:$M,"&lt;&gt;Đã duyệt"))</f>
        <v/>
      </c>
      <c r="AK122" s="52" t="str">
        <f>IF($B122="","",COUNTIFS('04_CU dac thu'!$C:$C,$B122,'04_CU dac thu'!$N:$N,"&lt;&gt;Đã duyệt"))</f>
        <v/>
      </c>
      <c r="AL122" s="52" t="str">
        <f>IF($B122="","",COUNTIFS('05_Bu tien do'!$B:$B,$B122,'05_Bu tien do'!$N:$N,"&lt;&gt;Đã hoàn thành"))</f>
        <v/>
      </c>
      <c r="AM122" s="53"/>
      <c r="AN122" s="53"/>
      <c r="AO122" s="49"/>
      <c r="AP122" s="53"/>
      <c r="AQ122" s="53"/>
      <c r="AR122" s="49"/>
      <c r="AS122" s="53"/>
      <c r="AT122" s="53"/>
      <c r="AU122" s="49"/>
      <c r="AV122" s="53"/>
      <c r="AW122" s="53"/>
      <c r="AX122" s="49"/>
      <c r="AY122" s="53"/>
      <c r="AZ122" s="53"/>
      <c r="BA122" s="49"/>
      <c r="BB122" s="53"/>
      <c r="BC122" s="53"/>
      <c r="BD122" s="49"/>
    </row>
    <row r="123" spans="1:56" x14ac:dyDescent="0.2">
      <c r="A123" s="49"/>
      <c r="B123" s="49"/>
      <c r="C123" s="49"/>
      <c r="D123" s="49"/>
      <c r="E123" s="49"/>
      <c r="F123" s="49"/>
      <c r="G123" s="51"/>
      <c r="H123" s="51"/>
      <c r="I123" s="54"/>
      <c r="J123" s="51"/>
      <c r="K123" s="49"/>
      <c r="L123" s="49"/>
      <c r="M123" s="49"/>
      <c r="N123" s="51"/>
      <c r="O123" s="49"/>
      <c r="P123" s="51"/>
      <c r="Q123" s="49"/>
      <c r="R123" s="51"/>
      <c r="S123" s="49"/>
      <c r="T123" s="54"/>
      <c r="U123" s="55" t="str">
        <f t="shared" si="0"/>
        <v/>
      </c>
      <c r="V123" s="51"/>
      <c r="W123" s="49"/>
      <c r="X123" s="51"/>
      <c r="Y123" s="49"/>
      <c r="Z123" s="52" t="str">
        <f t="shared" si="1"/>
        <v/>
      </c>
      <c r="AA123" s="52" t="str">
        <f t="shared" si="2"/>
        <v/>
      </c>
      <c r="AB123" s="52" t="str">
        <f t="shared" si="3"/>
        <v/>
      </c>
      <c r="AC123" s="52" t="str">
        <f t="shared" si="4"/>
        <v/>
      </c>
      <c r="AD123" s="51"/>
      <c r="AE123" s="52" t="str">
        <f>IF($B123="","",COUNTIFS('01_HSo TienKC'!$B:$B,$B123,'01_HSo TienKC'!$J:$J,"Đã duyệt"))</f>
        <v/>
      </c>
      <c r="AF123" s="38"/>
      <c r="AG123" s="38"/>
      <c r="AH123" s="38"/>
      <c r="AI123" s="52" t="str">
        <f>IF($B123="","",COUNTIFS('02_KH Thang_Tuan'!$B:$B,$B123,'02_KH Thang_Tuan'!$J:$J,"Đã duyệt")&amp;"/"&amp;COUNTIFS('02_KH Thang_Tuan'!$B:$B,$B123))</f>
        <v/>
      </c>
      <c r="AJ123" s="52" t="str">
        <f>IF($B123="","",COUNTIFS('03_Phat sinh'!$C:$C,$B123,'03_Phat sinh'!$M:$M,"&lt;&gt;Đã duyệt"))</f>
        <v/>
      </c>
      <c r="AK123" s="52" t="str">
        <f>IF($B123="","",COUNTIFS('04_CU dac thu'!$C:$C,$B123,'04_CU dac thu'!$N:$N,"&lt;&gt;Đã duyệt"))</f>
        <v/>
      </c>
      <c r="AL123" s="52" t="str">
        <f>IF($B123="","",COUNTIFS('05_Bu tien do'!$B:$B,$B123,'05_Bu tien do'!$N:$N,"&lt;&gt;Đã hoàn thành"))</f>
        <v/>
      </c>
      <c r="AM123" s="53"/>
      <c r="AN123" s="53"/>
      <c r="AO123" s="49"/>
      <c r="AP123" s="53"/>
      <c r="AQ123" s="53"/>
      <c r="AR123" s="49"/>
      <c r="AS123" s="53"/>
      <c r="AT123" s="53"/>
      <c r="AU123" s="49"/>
      <c r="AV123" s="53"/>
      <c r="AW123" s="53"/>
      <c r="AX123" s="49"/>
      <c r="AY123" s="53"/>
      <c r="AZ123" s="53"/>
      <c r="BA123" s="49"/>
      <c r="BB123" s="53"/>
      <c r="BC123" s="53"/>
      <c r="BD123" s="49"/>
    </row>
    <row r="124" spans="1:56" x14ac:dyDescent="0.2">
      <c r="A124" s="49"/>
      <c r="B124" s="49"/>
      <c r="C124" s="49"/>
      <c r="D124" s="49"/>
      <c r="E124" s="49"/>
      <c r="F124" s="49"/>
      <c r="G124" s="51"/>
      <c r="H124" s="51"/>
      <c r="I124" s="54"/>
      <c r="J124" s="51"/>
      <c r="K124" s="49"/>
      <c r="L124" s="49"/>
      <c r="M124" s="49"/>
      <c r="N124" s="51"/>
      <c r="O124" s="49"/>
      <c r="P124" s="51"/>
      <c r="Q124" s="49"/>
      <c r="R124" s="51"/>
      <c r="S124" s="49"/>
      <c r="T124" s="54"/>
      <c r="U124" s="55" t="str">
        <f t="shared" si="0"/>
        <v/>
      </c>
      <c r="V124" s="51"/>
      <c r="W124" s="49"/>
      <c r="X124" s="51"/>
      <c r="Y124" s="49"/>
      <c r="Z124" s="52" t="str">
        <f t="shared" si="1"/>
        <v/>
      </c>
      <c r="AA124" s="52" t="str">
        <f t="shared" si="2"/>
        <v/>
      </c>
      <c r="AB124" s="52" t="str">
        <f t="shared" si="3"/>
        <v/>
      </c>
      <c r="AC124" s="52" t="str">
        <f t="shared" si="4"/>
        <v/>
      </c>
      <c r="AD124" s="51"/>
      <c r="AE124" s="52" t="str">
        <f>IF($B124="","",COUNTIFS('01_HSo TienKC'!$B:$B,$B124,'01_HSo TienKC'!$J:$J,"Đã duyệt"))</f>
        <v/>
      </c>
      <c r="AF124" s="38"/>
      <c r="AG124" s="38"/>
      <c r="AH124" s="38"/>
      <c r="AI124" s="52" t="str">
        <f>IF($B124="","",COUNTIFS('02_KH Thang_Tuan'!$B:$B,$B124,'02_KH Thang_Tuan'!$J:$J,"Đã duyệt")&amp;"/"&amp;COUNTIFS('02_KH Thang_Tuan'!$B:$B,$B124))</f>
        <v/>
      </c>
      <c r="AJ124" s="52" t="str">
        <f>IF($B124="","",COUNTIFS('03_Phat sinh'!$C:$C,$B124,'03_Phat sinh'!$M:$M,"&lt;&gt;Đã duyệt"))</f>
        <v/>
      </c>
      <c r="AK124" s="52" t="str">
        <f>IF($B124="","",COUNTIFS('04_CU dac thu'!$C:$C,$B124,'04_CU dac thu'!$N:$N,"&lt;&gt;Đã duyệt"))</f>
        <v/>
      </c>
      <c r="AL124" s="52" t="str">
        <f>IF($B124="","",COUNTIFS('05_Bu tien do'!$B:$B,$B124,'05_Bu tien do'!$N:$N,"&lt;&gt;Đã hoàn thành"))</f>
        <v/>
      </c>
      <c r="AM124" s="53"/>
      <c r="AN124" s="53"/>
      <c r="AO124" s="49"/>
      <c r="AP124" s="53"/>
      <c r="AQ124" s="53"/>
      <c r="AR124" s="49"/>
      <c r="AS124" s="53"/>
      <c r="AT124" s="53"/>
      <c r="AU124" s="49"/>
      <c r="AV124" s="53"/>
      <c r="AW124" s="53"/>
      <c r="AX124" s="49"/>
      <c r="AY124" s="53"/>
      <c r="AZ124" s="53"/>
      <c r="BA124" s="49"/>
      <c r="BB124" s="53"/>
      <c r="BC124" s="53"/>
      <c r="BD124" s="49"/>
    </row>
    <row r="125" spans="1:56" x14ac:dyDescent="0.2">
      <c r="A125" s="49"/>
      <c r="B125" s="49"/>
      <c r="C125" s="49"/>
      <c r="D125" s="49"/>
      <c r="E125" s="49"/>
      <c r="F125" s="49"/>
      <c r="G125" s="51"/>
      <c r="H125" s="51"/>
      <c r="I125" s="54"/>
      <c r="J125" s="51"/>
      <c r="K125" s="49"/>
      <c r="L125" s="49"/>
      <c r="M125" s="49"/>
      <c r="N125" s="51"/>
      <c r="O125" s="49"/>
      <c r="P125" s="51"/>
      <c r="Q125" s="49"/>
      <c r="R125" s="51"/>
      <c r="S125" s="49"/>
      <c r="T125" s="54"/>
      <c r="U125" s="55" t="str">
        <f t="shared" si="0"/>
        <v/>
      </c>
      <c r="V125" s="51"/>
      <c r="W125" s="49"/>
      <c r="X125" s="51"/>
      <c r="Y125" s="49"/>
      <c r="Z125" s="52" t="str">
        <f t="shared" si="1"/>
        <v/>
      </c>
      <c r="AA125" s="52" t="str">
        <f t="shared" si="2"/>
        <v/>
      </c>
      <c r="AB125" s="52" t="str">
        <f t="shared" si="3"/>
        <v/>
      </c>
      <c r="AC125" s="52" t="str">
        <f t="shared" si="4"/>
        <v/>
      </c>
      <c r="AD125" s="51"/>
      <c r="AE125" s="52" t="str">
        <f>IF($B125="","",COUNTIFS('01_HSo TienKC'!$B:$B,$B125,'01_HSo TienKC'!$J:$J,"Đã duyệt"))</f>
        <v/>
      </c>
      <c r="AF125" s="38"/>
      <c r="AG125" s="38"/>
      <c r="AH125" s="38"/>
      <c r="AI125" s="52" t="str">
        <f>IF($B125="","",COUNTIFS('02_KH Thang_Tuan'!$B:$B,$B125,'02_KH Thang_Tuan'!$J:$J,"Đã duyệt")&amp;"/"&amp;COUNTIFS('02_KH Thang_Tuan'!$B:$B,$B125))</f>
        <v/>
      </c>
      <c r="AJ125" s="52" t="str">
        <f>IF($B125="","",COUNTIFS('03_Phat sinh'!$C:$C,$B125,'03_Phat sinh'!$M:$M,"&lt;&gt;Đã duyệt"))</f>
        <v/>
      </c>
      <c r="AK125" s="52" t="str">
        <f>IF($B125="","",COUNTIFS('04_CU dac thu'!$C:$C,$B125,'04_CU dac thu'!$N:$N,"&lt;&gt;Đã duyệt"))</f>
        <v/>
      </c>
      <c r="AL125" s="52" t="str">
        <f>IF($B125="","",COUNTIFS('05_Bu tien do'!$B:$B,$B125,'05_Bu tien do'!$N:$N,"&lt;&gt;Đã hoàn thành"))</f>
        <v/>
      </c>
      <c r="AM125" s="53"/>
      <c r="AN125" s="53"/>
      <c r="AO125" s="49"/>
      <c r="AP125" s="53"/>
      <c r="AQ125" s="53"/>
      <c r="AR125" s="49"/>
      <c r="AS125" s="53"/>
      <c r="AT125" s="53"/>
      <c r="AU125" s="49"/>
      <c r="AV125" s="53"/>
      <c r="AW125" s="53"/>
      <c r="AX125" s="49"/>
      <c r="AY125" s="53"/>
      <c r="AZ125" s="53"/>
      <c r="BA125" s="49"/>
      <c r="BB125" s="53"/>
      <c r="BC125" s="53"/>
      <c r="BD125" s="49"/>
    </row>
    <row r="126" spans="1:56" x14ac:dyDescent="0.2">
      <c r="A126" s="49"/>
      <c r="B126" s="49"/>
      <c r="C126" s="49"/>
      <c r="D126" s="49"/>
      <c r="E126" s="49"/>
      <c r="F126" s="49"/>
      <c r="G126" s="51"/>
      <c r="H126" s="51"/>
      <c r="I126" s="54"/>
      <c r="J126" s="51"/>
      <c r="K126" s="49"/>
      <c r="L126" s="49"/>
      <c r="M126" s="49"/>
      <c r="N126" s="51"/>
      <c r="O126" s="49"/>
      <c r="P126" s="51"/>
      <c r="Q126" s="49"/>
      <c r="R126" s="51"/>
      <c r="S126" s="49"/>
      <c r="T126" s="54"/>
      <c r="U126" s="55" t="str">
        <f t="shared" si="0"/>
        <v/>
      </c>
      <c r="V126" s="51"/>
      <c r="W126" s="49"/>
      <c r="X126" s="51"/>
      <c r="Y126" s="49"/>
      <c r="Z126" s="52" t="str">
        <f t="shared" si="1"/>
        <v/>
      </c>
      <c r="AA126" s="52" t="str">
        <f t="shared" si="2"/>
        <v/>
      </c>
      <c r="AB126" s="52" t="str">
        <f t="shared" si="3"/>
        <v/>
      </c>
      <c r="AC126" s="52" t="str">
        <f t="shared" si="4"/>
        <v/>
      </c>
      <c r="AD126" s="51"/>
      <c r="AE126" s="52" t="str">
        <f>IF($B126="","",COUNTIFS('01_HSo TienKC'!$B:$B,$B126,'01_HSo TienKC'!$J:$J,"Đã duyệt"))</f>
        <v/>
      </c>
      <c r="AF126" s="38"/>
      <c r="AG126" s="38"/>
      <c r="AH126" s="38"/>
      <c r="AI126" s="52" t="str">
        <f>IF($B126="","",COUNTIFS('02_KH Thang_Tuan'!$B:$B,$B126,'02_KH Thang_Tuan'!$J:$J,"Đã duyệt")&amp;"/"&amp;COUNTIFS('02_KH Thang_Tuan'!$B:$B,$B126))</f>
        <v/>
      </c>
      <c r="AJ126" s="52" t="str">
        <f>IF($B126="","",COUNTIFS('03_Phat sinh'!$C:$C,$B126,'03_Phat sinh'!$M:$M,"&lt;&gt;Đã duyệt"))</f>
        <v/>
      </c>
      <c r="AK126" s="52" t="str">
        <f>IF($B126="","",COUNTIFS('04_CU dac thu'!$C:$C,$B126,'04_CU dac thu'!$N:$N,"&lt;&gt;Đã duyệt"))</f>
        <v/>
      </c>
      <c r="AL126" s="52" t="str">
        <f>IF($B126="","",COUNTIFS('05_Bu tien do'!$B:$B,$B126,'05_Bu tien do'!$N:$N,"&lt;&gt;Đã hoàn thành"))</f>
        <v/>
      </c>
      <c r="AM126" s="53"/>
      <c r="AN126" s="53"/>
      <c r="AO126" s="49"/>
      <c r="AP126" s="53"/>
      <c r="AQ126" s="53"/>
      <c r="AR126" s="49"/>
      <c r="AS126" s="53"/>
      <c r="AT126" s="53"/>
      <c r="AU126" s="49"/>
      <c r="AV126" s="53"/>
      <c r="AW126" s="53"/>
      <c r="AX126" s="49"/>
      <c r="AY126" s="53"/>
      <c r="AZ126" s="53"/>
      <c r="BA126" s="49"/>
      <c r="BB126" s="53"/>
      <c r="BC126" s="53"/>
      <c r="BD126" s="49"/>
    </row>
    <row r="127" spans="1:56" x14ac:dyDescent="0.2">
      <c r="A127" s="49"/>
      <c r="B127" s="49"/>
      <c r="C127" s="49"/>
      <c r="D127" s="49"/>
      <c r="E127" s="49"/>
      <c r="F127" s="49"/>
      <c r="G127" s="51"/>
      <c r="H127" s="51"/>
      <c r="I127" s="54"/>
      <c r="J127" s="51"/>
      <c r="K127" s="49"/>
      <c r="L127" s="49"/>
      <c r="M127" s="49"/>
      <c r="N127" s="51"/>
      <c r="O127" s="49"/>
      <c r="P127" s="51"/>
      <c r="Q127" s="49"/>
      <c r="R127" s="51"/>
      <c r="S127" s="49"/>
      <c r="T127" s="54"/>
      <c r="U127" s="55" t="str">
        <f t="shared" si="0"/>
        <v/>
      </c>
      <c r="V127" s="51"/>
      <c r="W127" s="49"/>
      <c r="X127" s="51"/>
      <c r="Y127" s="49"/>
      <c r="Z127" s="52" t="str">
        <f t="shared" si="1"/>
        <v/>
      </c>
      <c r="AA127" s="52" t="str">
        <f t="shared" si="2"/>
        <v/>
      </c>
      <c r="AB127" s="52" t="str">
        <f t="shared" si="3"/>
        <v/>
      </c>
      <c r="AC127" s="52" t="str">
        <f t="shared" si="4"/>
        <v/>
      </c>
      <c r="AD127" s="51"/>
      <c r="AE127" s="52" t="str">
        <f>IF($B127="","",COUNTIFS('01_HSo TienKC'!$B:$B,$B127,'01_HSo TienKC'!$J:$J,"Đã duyệt"))</f>
        <v/>
      </c>
      <c r="AF127" s="38"/>
      <c r="AG127" s="38"/>
      <c r="AH127" s="38"/>
      <c r="AI127" s="52" t="str">
        <f>IF($B127="","",COUNTIFS('02_KH Thang_Tuan'!$B:$B,$B127,'02_KH Thang_Tuan'!$J:$J,"Đã duyệt")&amp;"/"&amp;COUNTIFS('02_KH Thang_Tuan'!$B:$B,$B127))</f>
        <v/>
      </c>
      <c r="AJ127" s="52" t="str">
        <f>IF($B127="","",COUNTIFS('03_Phat sinh'!$C:$C,$B127,'03_Phat sinh'!$M:$M,"&lt;&gt;Đã duyệt"))</f>
        <v/>
      </c>
      <c r="AK127" s="52" t="str">
        <f>IF($B127="","",COUNTIFS('04_CU dac thu'!$C:$C,$B127,'04_CU dac thu'!$N:$N,"&lt;&gt;Đã duyệt"))</f>
        <v/>
      </c>
      <c r="AL127" s="52" t="str">
        <f>IF($B127="","",COUNTIFS('05_Bu tien do'!$B:$B,$B127,'05_Bu tien do'!$N:$N,"&lt;&gt;Đã hoàn thành"))</f>
        <v/>
      </c>
      <c r="AM127" s="53"/>
      <c r="AN127" s="53"/>
      <c r="AO127" s="49"/>
      <c r="AP127" s="53"/>
      <c r="AQ127" s="53"/>
      <c r="AR127" s="49"/>
      <c r="AS127" s="53"/>
      <c r="AT127" s="53"/>
      <c r="AU127" s="49"/>
      <c r="AV127" s="53"/>
      <c r="AW127" s="53"/>
      <c r="AX127" s="49"/>
      <c r="AY127" s="53"/>
      <c r="AZ127" s="53"/>
      <c r="BA127" s="49"/>
      <c r="BB127" s="53"/>
      <c r="BC127" s="53"/>
      <c r="BD127" s="49"/>
    </row>
    <row r="128" spans="1:56" x14ac:dyDescent="0.2">
      <c r="A128" s="49"/>
      <c r="B128" s="49"/>
      <c r="C128" s="49"/>
      <c r="D128" s="49"/>
      <c r="E128" s="49"/>
      <c r="F128" s="49"/>
      <c r="G128" s="51"/>
      <c r="H128" s="51"/>
      <c r="I128" s="54"/>
      <c r="J128" s="51"/>
      <c r="K128" s="49"/>
      <c r="L128" s="49"/>
      <c r="M128" s="49"/>
      <c r="N128" s="51"/>
      <c r="O128" s="49"/>
      <c r="P128" s="51"/>
      <c r="Q128" s="49"/>
      <c r="R128" s="51"/>
      <c r="S128" s="49"/>
      <c r="T128" s="54"/>
      <c r="U128" s="55" t="str">
        <f t="shared" si="0"/>
        <v/>
      </c>
      <c r="V128" s="51"/>
      <c r="W128" s="49"/>
      <c r="X128" s="51"/>
      <c r="Y128" s="49"/>
      <c r="Z128" s="52" t="str">
        <f t="shared" si="1"/>
        <v/>
      </c>
      <c r="AA128" s="52" t="str">
        <f t="shared" si="2"/>
        <v/>
      </c>
      <c r="AB128" s="52" t="str">
        <f t="shared" si="3"/>
        <v/>
      </c>
      <c r="AC128" s="52" t="str">
        <f t="shared" si="4"/>
        <v/>
      </c>
      <c r="AD128" s="51"/>
      <c r="AE128" s="52" t="str">
        <f>IF($B128="","",COUNTIFS('01_HSo TienKC'!$B:$B,$B128,'01_HSo TienKC'!$J:$J,"Đã duyệt"))</f>
        <v/>
      </c>
      <c r="AF128" s="38"/>
      <c r="AG128" s="38"/>
      <c r="AH128" s="38"/>
      <c r="AI128" s="52" t="str">
        <f>IF($B128="","",COUNTIFS('02_KH Thang_Tuan'!$B:$B,$B128,'02_KH Thang_Tuan'!$J:$J,"Đã duyệt")&amp;"/"&amp;COUNTIFS('02_KH Thang_Tuan'!$B:$B,$B128))</f>
        <v/>
      </c>
      <c r="AJ128" s="52" t="str">
        <f>IF($B128="","",COUNTIFS('03_Phat sinh'!$C:$C,$B128,'03_Phat sinh'!$M:$M,"&lt;&gt;Đã duyệt"))</f>
        <v/>
      </c>
      <c r="AK128" s="52" t="str">
        <f>IF($B128="","",COUNTIFS('04_CU dac thu'!$C:$C,$B128,'04_CU dac thu'!$N:$N,"&lt;&gt;Đã duyệt"))</f>
        <v/>
      </c>
      <c r="AL128" s="52" t="str">
        <f>IF($B128="","",COUNTIFS('05_Bu tien do'!$B:$B,$B128,'05_Bu tien do'!$N:$N,"&lt;&gt;Đã hoàn thành"))</f>
        <v/>
      </c>
      <c r="AM128" s="53"/>
      <c r="AN128" s="53"/>
      <c r="AO128" s="49"/>
      <c r="AP128" s="53"/>
      <c r="AQ128" s="53"/>
      <c r="AR128" s="49"/>
      <c r="AS128" s="53"/>
      <c r="AT128" s="53"/>
      <c r="AU128" s="49"/>
      <c r="AV128" s="53"/>
      <c r="AW128" s="53"/>
      <c r="AX128" s="49"/>
      <c r="AY128" s="53"/>
      <c r="AZ128" s="53"/>
      <c r="BA128" s="49"/>
      <c r="BB128" s="53"/>
      <c r="BC128" s="53"/>
      <c r="BD128" s="49"/>
    </row>
    <row r="129" spans="1:56" x14ac:dyDescent="0.2">
      <c r="A129" s="49"/>
      <c r="B129" s="49"/>
      <c r="C129" s="49"/>
      <c r="D129" s="49"/>
      <c r="E129" s="49"/>
      <c r="F129" s="49"/>
      <c r="G129" s="51"/>
      <c r="H129" s="51"/>
      <c r="I129" s="54"/>
      <c r="J129" s="51"/>
      <c r="K129" s="49"/>
      <c r="L129" s="49"/>
      <c r="M129" s="49"/>
      <c r="N129" s="51"/>
      <c r="O129" s="49"/>
      <c r="P129" s="51"/>
      <c r="Q129" s="49"/>
      <c r="R129" s="51"/>
      <c r="S129" s="49"/>
      <c r="T129" s="54"/>
      <c r="U129" s="55" t="str">
        <f t="shared" si="0"/>
        <v/>
      </c>
      <c r="V129" s="51"/>
      <c r="W129" s="49"/>
      <c r="X129" s="51"/>
      <c r="Y129" s="49"/>
      <c r="Z129" s="52" t="str">
        <f t="shared" si="1"/>
        <v/>
      </c>
      <c r="AA129" s="52" t="str">
        <f t="shared" si="2"/>
        <v/>
      </c>
      <c r="AB129" s="52" t="str">
        <f t="shared" si="3"/>
        <v/>
      </c>
      <c r="AC129" s="52" t="str">
        <f t="shared" si="4"/>
        <v/>
      </c>
      <c r="AD129" s="51"/>
      <c r="AE129" s="52" t="str">
        <f>IF($B129="","",COUNTIFS('01_HSo TienKC'!$B:$B,$B129,'01_HSo TienKC'!$J:$J,"Đã duyệt"))</f>
        <v/>
      </c>
      <c r="AF129" s="38"/>
      <c r="AG129" s="38"/>
      <c r="AH129" s="38"/>
      <c r="AI129" s="52" t="str">
        <f>IF($B129="","",COUNTIFS('02_KH Thang_Tuan'!$B:$B,$B129,'02_KH Thang_Tuan'!$J:$J,"Đã duyệt")&amp;"/"&amp;COUNTIFS('02_KH Thang_Tuan'!$B:$B,$B129))</f>
        <v/>
      </c>
      <c r="AJ129" s="52" t="str">
        <f>IF($B129="","",COUNTIFS('03_Phat sinh'!$C:$C,$B129,'03_Phat sinh'!$M:$M,"&lt;&gt;Đã duyệt"))</f>
        <v/>
      </c>
      <c r="AK129" s="52" t="str">
        <f>IF($B129="","",COUNTIFS('04_CU dac thu'!$C:$C,$B129,'04_CU dac thu'!$N:$N,"&lt;&gt;Đã duyệt"))</f>
        <v/>
      </c>
      <c r="AL129" s="52" t="str">
        <f>IF($B129="","",COUNTIFS('05_Bu tien do'!$B:$B,$B129,'05_Bu tien do'!$N:$N,"&lt;&gt;Đã hoàn thành"))</f>
        <v/>
      </c>
      <c r="AM129" s="53"/>
      <c r="AN129" s="53"/>
      <c r="AO129" s="49"/>
      <c r="AP129" s="53"/>
      <c r="AQ129" s="53"/>
      <c r="AR129" s="49"/>
      <c r="AS129" s="53"/>
      <c r="AT129" s="53"/>
      <c r="AU129" s="49"/>
      <c r="AV129" s="53"/>
      <c r="AW129" s="53"/>
      <c r="AX129" s="49"/>
      <c r="AY129" s="53"/>
      <c r="AZ129" s="53"/>
      <c r="BA129" s="49"/>
      <c r="BB129" s="53"/>
      <c r="BC129" s="53"/>
      <c r="BD129" s="49"/>
    </row>
    <row r="130" spans="1:56" x14ac:dyDescent="0.2">
      <c r="A130" s="49"/>
      <c r="B130" s="49"/>
      <c r="C130" s="49"/>
      <c r="D130" s="49"/>
      <c r="E130" s="49"/>
      <c r="F130" s="49"/>
      <c r="G130" s="51"/>
      <c r="H130" s="51"/>
      <c r="I130" s="54"/>
      <c r="J130" s="51"/>
      <c r="K130" s="49"/>
      <c r="L130" s="49"/>
      <c r="M130" s="49"/>
      <c r="N130" s="51"/>
      <c r="O130" s="49"/>
      <c r="P130" s="51"/>
      <c r="Q130" s="49"/>
      <c r="R130" s="51"/>
      <c r="S130" s="49"/>
      <c r="T130" s="54"/>
      <c r="U130" s="55" t="str">
        <f t="shared" si="0"/>
        <v/>
      </c>
      <c r="V130" s="51"/>
      <c r="W130" s="49"/>
      <c r="X130" s="51"/>
      <c r="Y130" s="49"/>
      <c r="Z130" s="52" t="str">
        <f t="shared" si="1"/>
        <v/>
      </c>
      <c r="AA130" s="52" t="str">
        <f t="shared" si="2"/>
        <v/>
      </c>
      <c r="AB130" s="52" t="str">
        <f t="shared" si="3"/>
        <v/>
      </c>
      <c r="AC130" s="52" t="str">
        <f t="shared" si="4"/>
        <v/>
      </c>
      <c r="AD130" s="51"/>
      <c r="AE130" s="52" t="str">
        <f>IF($B130="","",COUNTIFS('01_HSo TienKC'!$B:$B,$B130,'01_HSo TienKC'!$J:$J,"Đã duyệt"))</f>
        <v/>
      </c>
      <c r="AF130" s="38"/>
      <c r="AG130" s="38"/>
      <c r="AH130" s="38"/>
      <c r="AI130" s="52" t="str">
        <f>IF($B130="","",COUNTIFS('02_KH Thang_Tuan'!$B:$B,$B130,'02_KH Thang_Tuan'!$J:$J,"Đã duyệt")&amp;"/"&amp;COUNTIFS('02_KH Thang_Tuan'!$B:$B,$B130))</f>
        <v/>
      </c>
      <c r="AJ130" s="52" t="str">
        <f>IF($B130="","",COUNTIFS('03_Phat sinh'!$C:$C,$B130,'03_Phat sinh'!$M:$M,"&lt;&gt;Đã duyệt"))</f>
        <v/>
      </c>
      <c r="AK130" s="52" t="str">
        <f>IF($B130="","",COUNTIFS('04_CU dac thu'!$C:$C,$B130,'04_CU dac thu'!$N:$N,"&lt;&gt;Đã duyệt"))</f>
        <v/>
      </c>
      <c r="AL130" s="52" t="str">
        <f>IF($B130="","",COUNTIFS('05_Bu tien do'!$B:$B,$B130,'05_Bu tien do'!$N:$N,"&lt;&gt;Đã hoàn thành"))</f>
        <v/>
      </c>
      <c r="AM130" s="53"/>
      <c r="AN130" s="53"/>
      <c r="AO130" s="49"/>
      <c r="AP130" s="53"/>
      <c r="AQ130" s="53"/>
      <c r="AR130" s="49"/>
      <c r="AS130" s="53"/>
      <c r="AT130" s="53"/>
      <c r="AU130" s="49"/>
      <c r="AV130" s="53"/>
      <c r="AW130" s="53"/>
      <c r="AX130" s="49"/>
      <c r="AY130" s="53"/>
      <c r="AZ130" s="53"/>
      <c r="BA130" s="49"/>
      <c r="BB130" s="53"/>
      <c r="BC130" s="53"/>
      <c r="BD130" s="49"/>
    </row>
    <row r="131" spans="1:56" x14ac:dyDescent="0.2">
      <c r="A131" s="49"/>
      <c r="B131" s="49"/>
      <c r="C131" s="49"/>
      <c r="D131" s="49"/>
      <c r="E131" s="49"/>
      <c r="F131" s="49"/>
      <c r="G131" s="51"/>
      <c r="H131" s="51"/>
      <c r="I131" s="54"/>
      <c r="J131" s="51"/>
      <c r="K131" s="49"/>
      <c r="L131" s="49"/>
      <c r="M131" s="49"/>
      <c r="N131" s="51"/>
      <c r="O131" s="49"/>
      <c r="P131" s="51"/>
      <c r="Q131" s="49"/>
      <c r="R131" s="51"/>
      <c r="S131" s="49"/>
      <c r="T131" s="54"/>
      <c r="U131" s="55" t="str">
        <f t="shared" si="0"/>
        <v/>
      </c>
      <c r="V131" s="51"/>
      <c r="W131" s="49"/>
      <c r="X131" s="51"/>
      <c r="Y131" s="49"/>
      <c r="Z131" s="52" t="str">
        <f t="shared" si="1"/>
        <v/>
      </c>
      <c r="AA131" s="52" t="str">
        <f t="shared" si="2"/>
        <v/>
      </c>
      <c r="AB131" s="52" t="str">
        <f t="shared" si="3"/>
        <v/>
      </c>
      <c r="AC131" s="52" t="str">
        <f t="shared" si="4"/>
        <v/>
      </c>
      <c r="AD131" s="51"/>
      <c r="AE131" s="52" t="str">
        <f>IF($B131="","",COUNTIFS('01_HSo TienKC'!$B:$B,$B131,'01_HSo TienKC'!$J:$J,"Đã duyệt"))</f>
        <v/>
      </c>
      <c r="AF131" s="38"/>
      <c r="AG131" s="38"/>
      <c r="AH131" s="38"/>
      <c r="AI131" s="52" t="str">
        <f>IF($B131="","",COUNTIFS('02_KH Thang_Tuan'!$B:$B,$B131,'02_KH Thang_Tuan'!$J:$J,"Đã duyệt")&amp;"/"&amp;COUNTIFS('02_KH Thang_Tuan'!$B:$B,$B131))</f>
        <v/>
      </c>
      <c r="AJ131" s="52" t="str">
        <f>IF($B131="","",COUNTIFS('03_Phat sinh'!$C:$C,$B131,'03_Phat sinh'!$M:$M,"&lt;&gt;Đã duyệt"))</f>
        <v/>
      </c>
      <c r="AK131" s="52" t="str">
        <f>IF($B131="","",COUNTIFS('04_CU dac thu'!$C:$C,$B131,'04_CU dac thu'!$N:$N,"&lt;&gt;Đã duyệt"))</f>
        <v/>
      </c>
      <c r="AL131" s="52" t="str">
        <f>IF($B131="","",COUNTIFS('05_Bu tien do'!$B:$B,$B131,'05_Bu tien do'!$N:$N,"&lt;&gt;Đã hoàn thành"))</f>
        <v/>
      </c>
      <c r="AM131" s="53"/>
      <c r="AN131" s="53"/>
      <c r="AO131" s="49"/>
      <c r="AP131" s="53"/>
      <c r="AQ131" s="53"/>
      <c r="AR131" s="49"/>
      <c r="AS131" s="53"/>
      <c r="AT131" s="53"/>
      <c r="AU131" s="49"/>
      <c r="AV131" s="53"/>
      <c r="AW131" s="53"/>
      <c r="AX131" s="49"/>
      <c r="AY131" s="53"/>
      <c r="AZ131" s="53"/>
      <c r="BA131" s="49"/>
      <c r="BB131" s="53"/>
      <c r="BC131" s="53"/>
      <c r="BD131" s="49"/>
    </row>
    <row r="132" spans="1:56" x14ac:dyDescent="0.2">
      <c r="A132" s="49"/>
      <c r="B132" s="49"/>
      <c r="C132" s="49"/>
      <c r="D132" s="49"/>
      <c r="E132" s="49"/>
      <c r="F132" s="49"/>
      <c r="G132" s="51"/>
      <c r="H132" s="51"/>
      <c r="I132" s="54"/>
      <c r="J132" s="51"/>
      <c r="K132" s="49"/>
      <c r="L132" s="49"/>
      <c r="M132" s="49"/>
      <c r="N132" s="51"/>
      <c r="O132" s="49"/>
      <c r="P132" s="51"/>
      <c r="Q132" s="49"/>
      <c r="R132" s="51"/>
      <c r="S132" s="49"/>
      <c r="T132" s="54"/>
      <c r="U132" s="55" t="str">
        <f t="shared" si="0"/>
        <v/>
      </c>
      <c r="V132" s="51"/>
      <c r="W132" s="49"/>
      <c r="X132" s="51"/>
      <c r="Y132" s="49"/>
      <c r="Z132" s="52" t="str">
        <f t="shared" si="1"/>
        <v/>
      </c>
      <c r="AA132" s="52" t="str">
        <f t="shared" si="2"/>
        <v/>
      </c>
      <c r="AB132" s="52" t="str">
        <f t="shared" si="3"/>
        <v/>
      </c>
      <c r="AC132" s="52" t="str">
        <f t="shared" si="4"/>
        <v/>
      </c>
      <c r="AD132" s="51"/>
      <c r="AE132" s="52" t="str">
        <f>IF($B132="","",COUNTIFS('01_HSo TienKC'!$B:$B,$B132,'01_HSo TienKC'!$J:$J,"Đã duyệt"))</f>
        <v/>
      </c>
      <c r="AF132" s="38"/>
      <c r="AG132" s="38"/>
      <c r="AH132" s="38"/>
      <c r="AI132" s="52" t="str">
        <f>IF($B132="","",COUNTIFS('02_KH Thang_Tuan'!$B:$B,$B132,'02_KH Thang_Tuan'!$J:$J,"Đã duyệt")&amp;"/"&amp;COUNTIFS('02_KH Thang_Tuan'!$B:$B,$B132))</f>
        <v/>
      </c>
      <c r="AJ132" s="52" t="str">
        <f>IF($B132="","",COUNTIFS('03_Phat sinh'!$C:$C,$B132,'03_Phat sinh'!$M:$M,"&lt;&gt;Đã duyệt"))</f>
        <v/>
      </c>
      <c r="AK132" s="52" t="str">
        <f>IF($B132="","",COUNTIFS('04_CU dac thu'!$C:$C,$B132,'04_CU dac thu'!$N:$N,"&lt;&gt;Đã duyệt"))</f>
        <v/>
      </c>
      <c r="AL132" s="52" t="str">
        <f>IF($B132="","",COUNTIFS('05_Bu tien do'!$B:$B,$B132,'05_Bu tien do'!$N:$N,"&lt;&gt;Đã hoàn thành"))</f>
        <v/>
      </c>
      <c r="AM132" s="53"/>
      <c r="AN132" s="53"/>
      <c r="AO132" s="49"/>
      <c r="AP132" s="53"/>
      <c r="AQ132" s="53"/>
      <c r="AR132" s="49"/>
      <c r="AS132" s="53"/>
      <c r="AT132" s="53"/>
      <c r="AU132" s="49"/>
      <c r="AV132" s="53"/>
      <c r="AW132" s="53"/>
      <c r="AX132" s="49"/>
      <c r="AY132" s="53"/>
      <c r="AZ132" s="53"/>
      <c r="BA132" s="49"/>
      <c r="BB132" s="53"/>
      <c r="BC132" s="53"/>
      <c r="BD132" s="49"/>
    </row>
    <row r="133" spans="1:56" x14ac:dyDescent="0.2">
      <c r="A133" s="49"/>
      <c r="B133" s="49"/>
      <c r="C133" s="49"/>
      <c r="D133" s="49"/>
      <c r="E133" s="49"/>
      <c r="F133" s="49"/>
      <c r="G133" s="51"/>
      <c r="H133" s="51"/>
      <c r="I133" s="54"/>
      <c r="J133" s="51"/>
      <c r="K133" s="49"/>
      <c r="L133" s="49"/>
      <c r="M133" s="49"/>
      <c r="N133" s="51"/>
      <c r="O133" s="49"/>
      <c r="P133" s="51"/>
      <c r="Q133" s="49"/>
      <c r="R133" s="51"/>
      <c r="S133" s="49"/>
      <c r="T133" s="54"/>
      <c r="U133" s="55" t="str">
        <f t="shared" si="0"/>
        <v/>
      </c>
      <c r="V133" s="51"/>
      <c r="W133" s="49"/>
      <c r="X133" s="51"/>
      <c r="Y133" s="49"/>
      <c r="Z133" s="52" t="str">
        <f t="shared" si="1"/>
        <v/>
      </c>
      <c r="AA133" s="52" t="str">
        <f t="shared" si="2"/>
        <v/>
      </c>
      <c r="AB133" s="52" t="str">
        <f t="shared" si="3"/>
        <v/>
      </c>
      <c r="AC133" s="52" t="str">
        <f t="shared" si="4"/>
        <v/>
      </c>
      <c r="AD133" s="51"/>
      <c r="AE133" s="52" t="str">
        <f>IF($B133="","",COUNTIFS('01_HSo TienKC'!$B:$B,$B133,'01_HSo TienKC'!$J:$J,"Đã duyệt"))</f>
        <v/>
      </c>
      <c r="AF133" s="38"/>
      <c r="AG133" s="38"/>
      <c r="AH133" s="38"/>
      <c r="AI133" s="52" t="str">
        <f>IF($B133="","",COUNTIFS('02_KH Thang_Tuan'!$B:$B,$B133,'02_KH Thang_Tuan'!$J:$J,"Đã duyệt")&amp;"/"&amp;COUNTIFS('02_KH Thang_Tuan'!$B:$B,$B133))</f>
        <v/>
      </c>
      <c r="AJ133" s="52" t="str">
        <f>IF($B133="","",COUNTIFS('03_Phat sinh'!$C:$C,$B133,'03_Phat sinh'!$M:$M,"&lt;&gt;Đã duyệt"))</f>
        <v/>
      </c>
      <c r="AK133" s="52" t="str">
        <f>IF($B133="","",COUNTIFS('04_CU dac thu'!$C:$C,$B133,'04_CU dac thu'!$N:$N,"&lt;&gt;Đã duyệt"))</f>
        <v/>
      </c>
      <c r="AL133" s="52" t="str">
        <f>IF($B133="","",COUNTIFS('05_Bu tien do'!$B:$B,$B133,'05_Bu tien do'!$N:$N,"&lt;&gt;Đã hoàn thành"))</f>
        <v/>
      </c>
      <c r="AM133" s="53"/>
      <c r="AN133" s="53"/>
      <c r="AO133" s="49"/>
      <c r="AP133" s="53"/>
      <c r="AQ133" s="53"/>
      <c r="AR133" s="49"/>
      <c r="AS133" s="53"/>
      <c r="AT133" s="53"/>
      <c r="AU133" s="49"/>
      <c r="AV133" s="53"/>
      <c r="AW133" s="53"/>
      <c r="AX133" s="49"/>
      <c r="AY133" s="53"/>
      <c r="AZ133" s="53"/>
      <c r="BA133" s="49"/>
      <c r="BB133" s="53"/>
      <c r="BC133" s="53"/>
      <c r="BD133" s="49"/>
    </row>
    <row r="134" spans="1:56" x14ac:dyDescent="0.2">
      <c r="A134" s="49"/>
      <c r="B134" s="49"/>
      <c r="C134" s="49"/>
      <c r="D134" s="49"/>
      <c r="E134" s="49"/>
      <c r="F134" s="49"/>
      <c r="G134" s="51"/>
      <c r="H134" s="51"/>
      <c r="I134" s="54"/>
      <c r="J134" s="51"/>
      <c r="K134" s="49"/>
      <c r="L134" s="49"/>
      <c r="M134" s="49"/>
      <c r="N134" s="51"/>
      <c r="O134" s="49"/>
      <c r="P134" s="51"/>
      <c r="Q134" s="49"/>
      <c r="R134" s="51"/>
      <c r="S134" s="49"/>
      <c r="T134" s="54"/>
      <c r="U134" s="55" t="str">
        <f t="shared" si="0"/>
        <v/>
      </c>
      <c r="V134" s="51"/>
      <c r="W134" s="49"/>
      <c r="X134" s="51"/>
      <c r="Y134" s="49"/>
      <c r="Z134" s="52" t="str">
        <f t="shared" si="1"/>
        <v/>
      </c>
      <c r="AA134" s="52" t="str">
        <f t="shared" si="2"/>
        <v/>
      </c>
      <c r="AB134" s="52" t="str">
        <f t="shared" si="3"/>
        <v/>
      </c>
      <c r="AC134" s="52" t="str">
        <f t="shared" si="4"/>
        <v/>
      </c>
      <c r="AD134" s="51"/>
      <c r="AE134" s="52" t="str">
        <f>IF($B134="","",COUNTIFS('01_HSo TienKC'!$B:$B,$B134,'01_HSo TienKC'!$J:$J,"Đã duyệt"))</f>
        <v/>
      </c>
      <c r="AF134" s="38"/>
      <c r="AG134" s="38"/>
      <c r="AH134" s="38"/>
      <c r="AI134" s="52" t="str">
        <f>IF($B134="","",COUNTIFS('02_KH Thang_Tuan'!$B:$B,$B134,'02_KH Thang_Tuan'!$J:$J,"Đã duyệt")&amp;"/"&amp;COUNTIFS('02_KH Thang_Tuan'!$B:$B,$B134))</f>
        <v/>
      </c>
      <c r="AJ134" s="52" t="str">
        <f>IF($B134="","",COUNTIFS('03_Phat sinh'!$C:$C,$B134,'03_Phat sinh'!$M:$M,"&lt;&gt;Đã duyệt"))</f>
        <v/>
      </c>
      <c r="AK134" s="52" t="str">
        <f>IF($B134="","",COUNTIFS('04_CU dac thu'!$C:$C,$B134,'04_CU dac thu'!$N:$N,"&lt;&gt;Đã duyệt"))</f>
        <v/>
      </c>
      <c r="AL134" s="52" t="str">
        <f>IF($B134="","",COUNTIFS('05_Bu tien do'!$B:$B,$B134,'05_Bu tien do'!$N:$N,"&lt;&gt;Đã hoàn thành"))</f>
        <v/>
      </c>
      <c r="AM134" s="53"/>
      <c r="AN134" s="53"/>
      <c r="AO134" s="49"/>
      <c r="AP134" s="53"/>
      <c r="AQ134" s="53"/>
      <c r="AR134" s="49"/>
      <c r="AS134" s="53"/>
      <c r="AT134" s="53"/>
      <c r="AU134" s="49"/>
      <c r="AV134" s="53"/>
      <c r="AW134" s="53"/>
      <c r="AX134" s="49"/>
      <c r="AY134" s="53"/>
      <c r="AZ134" s="53"/>
      <c r="BA134" s="49"/>
      <c r="BB134" s="53"/>
      <c r="BC134" s="53"/>
      <c r="BD134" s="49"/>
    </row>
    <row r="135" spans="1:56" x14ac:dyDescent="0.2">
      <c r="A135" s="49"/>
      <c r="B135" s="49"/>
      <c r="C135" s="49"/>
      <c r="D135" s="49"/>
      <c r="E135" s="49"/>
      <c r="F135" s="49"/>
      <c r="G135" s="51"/>
      <c r="H135" s="51"/>
      <c r="I135" s="54"/>
      <c r="J135" s="51"/>
      <c r="K135" s="49"/>
      <c r="L135" s="49"/>
      <c r="M135" s="49"/>
      <c r="N135" s="51"/>
      <c r="O135" s="49"/>
      <c r="P135" s="51"/>
      <c r="Q135" s="49"/>
      <c r="R135" s="51"/>
      <c r="S135" s="49"/>
      <c r="T135" s="54"/>
      <c r="U135" s="55" t="str">
        <f t="shared" si="0"/>
        <v/>
      </c>
      <c r="V135" s="51"/>
      <c r="W135" s="49"/>
      <c r="X135" s="51"/>
      <c r="Y135" s="49"/>
      <c r="Z135" s="52" t="str">
        <f t="shared" si="1"/>
        <v/>
      </c>
      <c r="AA135" s="52" t="str">
        <f t="shared" si="2"/>
        <v/>
      </c>
      <c r="AB135" s="52" t="str">
        <f t="shared" si="3"/>
        <v/>
      </c>
      <c r="AC135" s="52" t="str">
        <f t="shared" si="4"/>
        <v/>
      </c>
      <c r="AD135" s="51"/>
      <c r="AE135" s="52" t="str">
        <f>IF($B135="","",COUNTIFS('01_HSo TienKC'!$B:$B,$B135,'01_HSo TienKC'!$J:$J,"Đã duyệt"))</f>
        <v/>
      </c>
      <c r="AF135" s="38"/>
      <c r="AG135" s="38"/>
      <c r="AH135" s="38"/>
      <c r="AI135" s="52" t="str">
        <f>IF($B135="","",COUNTIFS('02_KH Thang_Tuan'!$B:$B,$B135,'02_KH Thang_Tuan'!$J:$J,"Đã duyệt")&amp;"/"&amp;COUNTIFS('02_KH Thang_Tuan'!$B:$B,$B135))</f>
        <v/>
      </c>
      <c r="AJ135" s="52" t="str">
        <f>IF($B135="","",COUNTIFS('03_Phat sinh'!$C:$C,$B135,'03_Phat sinh'!$M:$M,"&lt;&gt;Đã duyệt"))</f>
        <v/>
      </c>
      <c r="AK135" s="52" t="str">
        <f>IF($B135="","",COUNTIFS('04_CU dac thu'!$C:$C,$B135,'04_CU dac thu'!$N:$N,"&lt;&gt;Đã duyệt"))</f>
        <v/>
      </c>
      <c r="AL135" s="52" t="str">
        <f>IF($B135="","",COUNTIFS('05_Bu tien do'!$B:$B,$B135,'05_Bu tien do'!$N:$N,"&lt;&gt;Đã hoàn thành"))</f>
        <v/>
      </c>
      <c r="AM135" s="53"/>
      <c r="AN135" s="53"/>
      <c r="AO135" s="49"/>
      <c r="AP135" s="53"/>
      <c r="AQ135" s="53"/>
      <c r="AR135" s="49"/>
      <c r="AS135" s="53"/>
      <c r="AT135" s="53"/>
      <c r="AU135" s="49"/>
      <c r="AV135" s="53"/>
      <c r="AW135" s="53"/>
      <c r="AX135" s="49"/>
      <c r="AY135" s="53"/>
      <c r="AZ135" s="53"/>
      <c r="BA135" s="49"/>
      <c r="BB135" s="53"/>
      <c r="BC135" s="53"/>
      <c r="BD135" s="49"/>
    </row>
    <row r="136" spans="1:56" x14ac:dyDescent="0.2">
      <c r="A136" s="49"/>
      <c r="B136" s="49"/>
      <c r="C136" s="49"/>
      <c r="D136" s="49"/>
      <c r="E136" s="49"/>
      <c r="F136" s="49"/>
      <c r="G136" s="51"/>
      <c r="H136" s="51"/>
      <c r="I136" s="54"/>
      <c r="J136" s="51"/>
      <c r="K136" s="49"/>
      <c r="L136" s="49"/>
      <c r="M136" s="49"/>
      <c r="N136" s="51"/>
      <c r="O136" s="49"/>
      <c r="P136" s="51"/>
      <c r="Q136" s="49"/>
      <c r="R136" s="51"/>
      <c r="S136" s="49"/>
      <c r="T136" s="54"/>
      <c r="U136" s="55" t="str">
        <f t="shared" si="0"/>
        <v/>
      </c>
      <c r="V136" s="51"/>
      <c r="W136" s="49"/>
      <c r="X136" s="51"/>
      <c r="Y136" s="49"/>
      <c r="Z136" s="52" t="str">
        <f t="shared" si="1"/>
        <v/>
      </c>
      <c r="AA136" s="52" t="str">
        <f t="shared" si="2"/>
        <v/>
      </c>
      <c r="AB136" s="52" t="str">
        <f t="shared" si="3"/>
        <v/>
      </c>
      <c r="AC136" s="52" t="str">
        <f t="shared" si="4"/>
        <v/>
      </c>
      <c r="AD136" s="51"/>
      <c r="AE136" s="52" t="str">
        <f>IF($B136="","",COUNTIFS('01_HSo TienKC'!$B:$B,$B136,'01_HSo TienKC'!$J:$J,"Đã duyệt"))</f>
        <v/>
      </c>
      <c r="AF136" s="38"/>
      <c r="AG136" s="38"/>
      <c r="AH136" s="38"/>
      <c r="AI136" s="52" t="str">
        <f>IF($B136="","",COUNTIFS('02_KH Thang_Tuan'!$B:$B,$B136,'02_KH Thang_Tuan'!$J:$J,"Đã duyệt")&amp;"/"&amp;COUNTIFS('02_KH Thang_Tuan'!$B:$B,$B136))</f>
        <v/>
      </c>
      <c r="AJ136" s="52" t="str">
        <f>IF($B136="","",COUNTIFS('03_Phat sinh'!$C:$C,$B136,'03_Phat sinh'!$M:$M,"&lt;&gt;Đã duyệt"))</f>
        <v/>
      </c>
      <c r="AK136" s="52" t="str">
        <f>IF($B136="","",COUNTIFS('04_CU dac thu'!$C:$C,$B136,'04_CU dac thu'!$N:$N,"&lt;&gt;Đã duyệt"))</f>
        <v/>
      </c>
      <c r="AL136" s="52" t="str">
        <f>IF($B136="","",COUNTIFS('05_Bu tien do'!$B:$B,$B136,'05_Bu tien do'!$N:$N,"&lt;&gt;Đã hoàn thành"))</f>
        <v/>
      </c>
      <c r="AM136" s="53"/>
      <c r="AN136" s="53"/>
      <c r="AO136" s="49"/>
      <c r="AP136" s="53"/>
      <c r="AQ136" s="53"/>
      <c r="AR136" s="49"/>
      <c r="AS136" s="53"/>
      <c r="AT136" s="53"/>
      <c r="AU136" s="49"/>
      <c r="AV136" s="53"/>
      <c r="AW136" s="53"/>
      <c r="AX136" s="49"/>
      <c r="AY136" s="53"/>
      <c r="AZ136" s="53"/>
      <c r="BA136" s="49"/>
      <c r="BB136" s="53"/>
      <c r="BC136" s="53"/>
      <c r="BD136" s="49"/>
    </row>
    <row r="137" spans="1:56" x14ac:dyDescent="0.2">
      <c r="AF137" s="43"/>
      <c r="AG137" s="43"/>
      <c r="AH137" s="43"/>
    </row>
    <row r="138" spans="1:56" x14ac:dyDescent="0.2">
      <c r="AF138" s="38"/>
      <c r="AG138" s="38"/>
      <c r="AH138" s="38"/>
    </row>
    <row r="139" spans="1:56" x14ac:dyDescent="0.2">
      <c r="AF139" s="38"/>
      <c r="AG139" s="38"/>
      <c r="AH139" s="38"/>
    </row>
    <row r="140" spans="1:56" x14ac:dyDescent="0.2">
      <c r="AF140" s="38"/>
      <c r="AG140" s="38"/>
      <c r="AH140" s="38"/>
    </row>
    <row r="141" spans="1:56" x14ac:dyDescent="0.2">
      <c r="AF141" s="38"/>
      <c r="AG141" s="38"/>
      <c r="AH141" s="38"/>
    </row>
    <row r="142" spans="1:56" x14ac:dyDescent="0.2">
      <c r="AF142" s="38"/>
      <c r="AG142" s="38"/>
      <c r="AH142" s="38"/>
    </row>
    <row r="143" spans="1:56" x14ac:dyDescent="0.2">
      <c r="AF143" s="38"/>
      <c r="AG143" s="38"/>
      <c r="AH143" s="38"/>
    </row>
    <row r="144" spans="1:56" x14ac:dyDescent="0.2">
      <c r="AF144" s="38"/>
      <c r="AG144" s="38"/>
      <c r="AH144" s="38"/>
    </row>
    <row r="145" spans="32:34" x14ac:dyDescent="0.2">
      <c r="AF145" s="38"/>
      <c r="AG145" s="38"/>
      <c r="AH145" s="38"/>
    </row>
    <row r="146" spans="32:34" x14ac:dyDescent="0.2">
      <c r="AF146" s="38"/>
      <c r="AG146" s="38"/>
      <c r="AH146" s="38"/>
    </row>
    <row r="147" spans="32:34" x14ac:dyDescent="0.2">
      <c r="AF147" s="38"/>
      <c r="AG147" s="38"/>
      <c r="AH147" s="38"/>
    </row>
    <row r="148" spans="32:34" x14ac:dyDescent="0.2">
      <c r="AF148" s="38"/>
      <c r="AG148" s="38"/>
      <c r="AH148" s="38"/>
    </row>
    <row r="149" spans="32:34" x14ac:dyDescent="0.2">
      <c r="AF149" s="38"/>
      <c r="AG149" s="38"/>
      <c r="AH149" s="38"/>
    </row>
    <row r="150" spans="32:34" x14ac:dyDescent="0.2">
      <c r="AF150" s="38"/>
      <c r="AG150" s="38"/>
      <c r="AH150" s="38"/>
    </row>
    <row r="151" spans="32:34" x14ac:dyDescent="0.2">
      <c r="AF151" s="38"/>
      <c r="AG151" s="38"/>
      <c r="AH151" s="38"/>
    </row>
    <row r="152" spans="32:34" x14ac:dyDescent="0.2">
      <c r="AF152" s="38"/>
      <c r="AG152" s="38"/>
      <c r="AH152" s="38"/>
    </row>
    <row r="153" spans="32:34" x14ac:dyDescent="0.2">
      <c r="AF153" s="38"/>
      <c r="AG153" s="38"/>
      <c r="AH153" s="38"/>
    </row>
    <row r="154" spans="32:34" x14ac:dyDescent="0.2">
      <c r="AF154" s="38"/>
      <c r="AG154" s="38"/>
      <c r="AH154" s="38"/>
    </row>
    <row r="155" spans="32:34" x14ac:dyDescent="0.2">
      <c r="AF155" s="38"/>
      <c r="AG155" s="38"/>
      <c r="AH155" s="38"/>
    </row>
    <row r="156" spans="32:34" x14ac:dyDescent="0.2">
      <c r="AF156" s="38"/>
      <c r="AG156" s="38"/>
      <c r="AH156" s="38"/>
    </row>
    <row r="157" spans="32:34" x14ac:dyDescent="0.2">
      <c r="AF157" s="38"/>
      <c r="AG157" s="38"/>
      <c r="AH157" s="38"/>
    </row>
    <row r="158" spans="32:34" x14ac:dyDescent="0.2">
      <c r="AF158" s="38"/>
      <c r="AG158" s="38"/>
      <c r="AH158" s="38"/>
    </row>
    <row r="159" spans="32:34" x14ac:dyDescent="0.2">
      <c r="AF159" s="38"/>
      <c r="AG159" s="38"/>
      <c r="AH159" s="38"/>
    </row>
    <row r="160" spans="32:34" x14ac:dyDescent="0.2">
      <c r="AF160" s="38"/>
      <c r="AG160" s="38"/>
      <c r="AH160" s="38"/>
    </row>
    <row r="161" spans="32:34" x14ac:dyDescent="0.2">
      <c r="AF161" s="38"/>
      <c r="AG161" s="38"/>
      <c r="AH161" s="38"/>
    </row>
    <row r="162" spans="32:34" x14ac:dyDescent="0.2">
      <c r="AF162" s="38"/>
      <c r="AG162" s="38"/>
      <c r="AH162" s="38"/>
    </row>
    <row r="163" spans="32:34" x14ac:dyDescent="0.2">
      <c r="AF163" s="38"/>
      <c r="AG163" s="38"/>
      <c r="AH163" s="38"/>
    </row>
    <row r="164" spans="32:34" x14ac:dyDescent="0.2">
      <c r="AF164" s="38"/>
      <c r="AG164" s="38"/>
      <c r="AH164" s="38"/>
    </row>
    <row r="165" spans="32:34" x14ac:dyDescent="0.2">
      <c r="AF165" s="38"/>
      <c r="AG165" s="38"/>
      <c r="AH165" s="38"/>
    </row>
    <row r="166" spans="32:34" x14ac:dyDescent="0.2">
      <c r="AF166" s="38"/>
      <c r="AG166" s="38"/>
      <c r="AH166" s="38"/>
    </row>
    <row r="167" spans="32:34" x14ac:dyDescent="0.2">
      <c r="AF167" s="38"/>
      <c r="AG167" s="38"/>
      <c r="AH167" s="38"/>
    </row>
    <row r="168" spans="32:34" x14ac:dyDescent="0.2">
      <c r="AF168" s="38"/>
      <c r="AG168" s="38"/>
      <c r="AH168" s="38"/>
    </row>
    <row r="169" spans="32:34" x14ac:dyDescent="0.2">
      <c r="AF169" s="38"/>
      <c r="AG169" s="38"/>
      <c r="AH169" s="38"/>
    </row>
    <row r="170" spans="32:34" x14ac:dyDescent="0.2">
      <c r="AF170" s="38"/>
      <c r="AG170" s="38"/>
      <c r="AH170" s="38"/>
    </row>
    <row r="171" spans="32:34" x14ac:dyDescent="0.2">
      <c r="AF171" s="38"/>
      <c r="AG171" s="38"/>
      <c r="AH171" s="38"/>
    </row>
    <row r="172" spans="32:34" x14ac:dyDescent="0.2">
      <c r="AF172" s="38"/>
      <c r="AG172" s="38"/>
      <c r="AH172" s="38"/>
    </row>
    <row r="173" spans="32:34" x14ac:dyDescent="0.2">
      <c r="AF173" s="38"/>
      <c r="AG173" s="38"/>
      <c r="AH173" s="38"/>
    </row>
  </sheetData>
  <mergeCells count="42">
    <mergeCell ref="Z4:Z5"/>
    <mergeCell ref="AA4:AA5"/>
    <mergeCell ref="AB4:AB5"/>
    <mergeCell ref="AC4:AC5"/>
    <mergeCell ref="BB4:BD4"/>
    <mergeCell ref="AD4:AD5"/>
    <mergeCell ref="AE4:AE5"/>
    <mergeCell ref="AP4:AR4"/>
    <mergeCell ref="AS4:AU4"/>
    <mergeCell ref="AV4:AX4"/>
    <mergeCell ref="AF4:AF5"/>
    <mergeCell ref="AG4:AG5"/>
    <mergeCell ref="AH4:AH5"/>
    <mergeCell ref="AM4:AO4"/>
    <mergeCell ref="AY4:BA4"/>
    <mergeCell ref="AI4:AL4"/>
    <mergeCell ref="U4:U5"/>
    <mergeCell ref="V4:V5"/>
    <mergeCell ref="W4:W5"/>
    <mergeCell ref="X4:X5"/>
    <mergeCell ref="Y4:Y5"/>
    <mergeCell ref="A4:A5"/>
    <mergeCell ref="B4:B5"/>
    <mergeCell ref="C4:C5"/>
    <mergeCell ref="D4:D5"/>
    <mergeCell ref="E4:E5"/>
    <mergeCell ref="AI3:BD3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</mergeCells>
  <phoneticPr fontId="15" type="noConversion"/>
  <conditionalFormatting sqref="Z6:AB136">
    <cfRule type="cellIs" dxfId="8" priority="15" operator="equal">
      <formula>"✔"</formula>
    </cfRule>
    <cfRule type="cellIs" dxfId="7" priority="16" operator="equal">
      <formula>"✘"</formula>
    </cfRule>
  </conditionalFormatting>
  <conditionalFormatting sqref="AC6:AC136">
    <cfRule type="expression" dxfId="6" priority="6">
      <formula>ISNUMBER(SEARCH("ĐỦ ĐK",AC6))</formula>
    </cfRule>
    <cfRule type="expression" dxfId="5" priority="7">
      <formula>ISNUMBER(SEARCH("THIẾU",AC6))</formula>
    </cfRule>
  </conditionalFormatting>
  <conditionalFormatting sqref="AF6:AL173">
    <cfRule type="expression" dxfId="4" priority="1">
      <formula>ISNUMBER(SEARCH("ĐỎ",AF6))</formula>
    </cfRule>
    <cfRule type="expression" dxfId="3" priority="2">
      <formula>ISNUMBER(SEARCH("CAM",AF6))</formula>
    </cfRule>
    <cfRule type="expression" dxfId="2" priority="3">
      <formula>ISNUMBER(SEARCH("VÀNG",AF6))</formula>
    </cfRule>
    <cfRule type="expression" dxfId="1" priority="4">
      <formula>ISNUMBER(SEARCH("XANH",AF6))</formula>
    </cfRule>
  </conditionalFormatting>
  <conditionalFormatting sqref="AJ6:AL136">
    <cfRule type="cellIs" dxfId="0" priority="2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1000000}">
          <x14:formula1>
            <xm:f>'DM_Danh muc'!$K$3:$K$5</xm:f>
          </x14:formula1>
          <x14:formula2>
            <xm:f>0</xm:f>
          </x14:formula2>
          <xm:sqref>C8:C27 C29:C37 C39:C47 C49:C57 C59:C67 C69:C77 C79:C87 C89:C97 C99:C102 C104:C107 C109:C110 C112:C120</xm:sqref>
        </x14:dataValidation>
        <x14:dataValidation type="list" allowBlank="1" xr:uid="{0AC82F5F-88C4-4626-91C9-B94196DC37E8}">
          <x14:formula1>
            <xm:f>'DM_Danh muc'!$K$3:$K$6</xm:f>
          </x14:formula1>
          <xm:sqref>C8:C27 C29:C37 C39:C47 C49:C57 C59:C67 C69:C77 C79:C87 C89:C97 C99:C102 C104:C107 C109:C110 C112:C120</xm:sqref>
        </x14:dataValidation>
        <x14:dataValidation type="list" allowBlank="1" xr:uid="{00000000-0002-0000-0100-000000000000}">
          <x14:formula1>
            <xm:f>'DM_Danh muc'!$J$3:$J$5</xm:f>
          </x14:formula1>
          <x14:formula2>
            <xm:f>0</xm:f>
          </x14:formula2>
          <xm:sqref>D6:D7 D28 D38 D48 D58 D68 D78 D88 D98 D103 D108 D111 D113:D136</xm:sqref>
        </x14:dataValidation>
        <x14:dataValidation type="list" allowBlank="1" xr:uid="{00000000-0002-0000-0100-000003000000}">
          <x14:formula1>
            <xm:f>'DM_Danh muc'!$B$3:$B$5</xm:f>
          </x14:formula1>
          <x14:formula2>
            <xm:f>0</xm:f>
          </x14:formula2>
          <xm:sqref>L6:L136</xm:sqref>
        </x14:dataValidation>
        <x14:dataValidation type="list" allowBlank="1" xr:uid="{00000000-0002-0000-0100-000004000000}">
          <x14:formula1>
            <xm:f>'DM_Danh muc'!$C$3:$C$6</xm:f>
          </x14:formula1>
          <x14:formula2>
            <xm:f>0</xm:f>
          </x14:formula2>
          <xm:sqref>M6:M136</xm:sqref>
        </x14:dataValidation>
        <x14:dataValidation type="list" allowBlank="1" xr:uid="{00000000-0002-0000-0100-000005000000}">
          <x14:formula1>
            <xm:f>'DM_Danh muc'!$D$3:$D$7</xm:f>
          </x14:formula1>
          <x14:formula2>
            <xm:f>0</xm:f>
          </x14:formula2>
          <xm:sqref>O6:O136</xm:sqref>
        </x14:dataValidation>
        <x14:dataValidation type="list" allowBlank="1" xr:uid="{00000000-0002-0000-0100-000006000000}">
          <x14:formula1>
            <xm:f>'DM_Danh muc'!$E$3:$E$6</xm:f>
          </x14:formula1>
          <x14:formula2>
            <xm:f>0</xm:f>
          </x14:formula2>
          <xm:sqref>Q6:Q136</xm:sqref>
        </x14:dataValidation>
        <x14:dataValidation type="list" allowBlank="1" xr:uid="{00000000-0002-0000-0100-000007000000}">
          <x14:formula1>
            <xm:f>'DM_Danh muc'!$F$3:$F$6</xm:f>
          </x14:formula1>
          <x14:formula2>
            <xm:f>0</xm:f>
          </x14:formula2>
          <xm:sqref>S6:S136</xm:sqref>
        </x14:dataValidation>
        <x14:dataValidation type="list" allowBlank="1" xr:uid="{00000000-0002-0000-0100-000008000000}">
          <x14:formula1>
            <xm:f>'DM_Danh muc'!$G$3:$G$5</xm:f>
          </x14:formula1>
          <x14:formula2>
            <xm:f>0</xm:f>
          </x14:formula2>
          <xm:sqref>W6:W136</xm:sqref>
        </x14:dataValidation>
        <x14:dataValidation type="list" allowBlank="1" xr:uid="{00000000-0002-0000-0100-000009000000}">
          <x14:formula1>
            <xm:f>'DM_Danh muc'!$H$3:$H$5</xm:f>
          </x14:formula1>
          <x14:formula2>
            <xm:f>0</xm:f>
          </x14:formula2>
          <xm:sqref>Y6:Y136</xm:sqref>
        </x14:dataValidation>
        <x14:dataValidation type="list" allowBlank="1" xr:uid="{00000000-0002-0000-0100-000002000000}">
          <x14:formula1>
            <xm:f>'DM_Danh muc'!$A$3:$A$7</xm:f>
          </x14:formula1>
          <x14:formula2>
            <xm:f>0</xm:f>
          </x14:formula2>
          <xm:sqref>K6:K136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8F"/>
  </sheetPr>
  <dimension ref="A1:J43"/>
  <sheetViews>
    <sheetView zoomScaleNormal="100" workbookViewId="0">
      <pane ySplit="2" topLeftCell="A12" activePane="bottomLeft" state="frozen"/>
      <selection pane="bottomLeft" activeCell="B19" sqref="B19:J19"/>
    </sheetView>
  </sheetViews>
  <sheetFormatPr defaultColWidth="8.7109375" defaultRowHeight="15" x14ac:dyDescent="0.25"/>
  <cols>
    <col min="1" max="1" width="6" customWidth="1"/>
    <col min="2" max="2" width="16" customWidth="1"/>
    <col min="3" max="3" width="24" customWidth="1"/>
    <col min="4" max="4" width="13" customWidth="1"/>
    <col min="5" max="5" width="26" customWidth="1"/>
    <col min="6" max="6" width="22" customWidth="1"/>
    <col min="7" max="7" width="11" customWidth="1"/>
    <col min="8" max="10" width="12" customWidth="1"/>
  </cols>
  <sheetData>
    <row r="1" spans="1:10" ht="15.75" x14ac:dyDescent="0.25">
      <c r="A1" s="95" t="s">
        <v>292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39.75" customHeight="1" x14ac:dyDescent="0.25">
      <c r="A2" s="6" t="s">
        <v>293</v>
      </c>
      <c r="B2" s="6" t="s">
        <v>60</v>
      </c>
      <c r="C2" s="6" t="s">
        <v>294</v>
      </c>
      <c r="D2" s="6" t="s">
        <v>295</v>
      </c>
      <c r="E2" s="6" t="s">
        <v>296</v>
      </c>
      <c r="F2" s="6" t="s">
        <v>297</v>
      </c>
      <c r="G2" s="6" t="s">
        <v>298</v>
      </c>
      <c r="H2" s="6" t="s">
        <v>299</v>
      </c>
      <c r="I2" s="6" t="s">
        <v>300</v>
      </c>
      <c r="J2" s="6" t="s">
        <v>301</v>
      </c>
    </row>
    <row r="3" spans="1:10" ht="30" customHeight="1" x14ac:dyDescent="0.25">
      <c r="A3" s="7">
        <v>1</v>
      </c>
      <c r="B3" s="8" t="s">
        <v>132</v>
      </c>
      <c r="C3" s="8" t="s">
        <v>302</v>
      </c>
      <c r="D3" s="8" t="s">
        <v>303</v>
      </c>
      <c r="E3" s="8" t="s">
        <v>304</v>
      </c>
      <c r="F3" s="9" t="s">
        <v>305</v>
      </c>
      <c r="G3" s="10">
        <v>46162</v>
      </c>
      <c r="H3" s="8" t="s">
        <v>306</v>
      </c>
      <c r="I3" s="8" t="s">
        <v>307</v>
      </c>
      <c r="J3" s="8" t="s">
        <v>129</v>
      </c>
    </row>
    <row r="4" spans="1:10" ht="30" customHeight="1" x14ac:dyDescent="0.25">
      <c r="A4" s="7">
        <v>2</v>
      </c>
      <c r="B4" s="8" t="s">
        <v>132</v>
      </c>
      <c r="C4" s="8" t="s">
        <v>302</v>
      </c>
      <c r="D4" s="8" t="s">
        <v>308</v>
      </c>
      <c r="E4" s="8" t="s">
        <v>309</v>
      </c>
      <c r="F4" s="9" t="s">
        <v>310</v>
      </c>
      <c r="G4" s="10">
        <v>46162</v>
      </c>
      <c r="H4" s="8" t="s">
        <v>306</v>
      </c>
      <c r="I4" s="8" t="s">
        <v>307</v>
      </c>
      <c r="J4" s="8" t="s">
        <v>129</v>
      </c>
    </row>
    <row r="5" spans="1:10" ht="30" customHeight="1" x14ac:dyDescent="0.25">
      <c r="A5" s="7">
        <v>3</v>
      </c>
      <c r="B5" s="8" t="s">
        <v>132</v>
      </c>
      <c r="C5" s="8" t="s">
        <v>302</v>
      </c>
      <c r="D5" s="8" t="s">
        <v>311</v>
      </c>
      <c r="E5" s="8" t="s">
        <v>312</v>
      </c>
      <c r="F5" s="9" t="s">
        <v>313</v>
      </c>
      <c r="G5" s="10">
        <v>46162</v>
      </c>
      <c r="H5" s="8" t="s">
        <v>306</v>
      </c>
      <c r="I5" s="8" t="s">
        <v>307</v>
      </c>
      <c r="J5" s="8" t="s">
        <v>129</v>
      </c>
    </row>
    <row r="6" spans="1:10" ht="30" customHeight="1" x14ac:dyDescent="0.25">
      <c r="A6" s="7">
        <v>4</v>
      </c>
      <c r="B6" s="8" t="s">
        <v>132</v>
      </c>
      <c r="C6" s="8" t="s">
        <v>302</v>
      </c>
      <c r="D6" s="8" t="s">
        <v>314</v>
      </c>
      <c r="E6" s="8" t="s">
        <v>315</v>
      </c>
      <c r="F6" s="9" t="s">
        <v>316</v>
      </c>
      <c r="G6" s="10">
        <v>46160</v>
      </c>
      <c r="H6" s="8" t="s">
        <v>317</v>
      </c>
      <c r="I6" s="8" t="s">
        <v>307</v>
      </c>
      <c r="J6" s="8" t="s">
        <v>129</v>
      </c>
    </row>
    <row r="7" spans="1:10" ht="30" customHeight="1" x14ac:dyDescent="0.25">
      <c r="A7" s="7">
        <v>5</v>
      </c>
      <c r="B7" s="8" t="s">
        <v>132</v>
      </c>
      <c r="C7" s="8" t="s">
        <v>302</v>
      </c>
      <c r="D7" s="8" t="s">
        <v>318</v>
      </c>
      <c r="E7" s="8" t="s">
        <v>319</v>
      </c>
      <c r="F7" s="9" t="s">
        <v>320</v>
      </c>
      <c r="G7" s="10">
        <v>46162</v>
      </c>
      <c r="H7" s="8" t="s">
        <v>321</v>
      </c>
      <c r="I7" s="8" t="s">
        <v>307</v>
      </c>
      <c r="J7" s="8" t="s">
        <v>129</v>
      </c>
    </row>
    <row r="8" spans="1:10" ht="30" customHeight="1" x14ac:dyDescent="0.25">
      <c r="A8" s="7">
        <v>6</v>
      </c>
      <c r="B8" s="8" t="s">
        <v>132</v>
      </c>
      <c r="C8" s="8" t="s">
        <v>302</v>
      </c>
      <c r="D8" s="8" t="s">
        <v>322</v>
      </c>
      <c r="E8" s="8" t="s">
        <v>323</v>
      </c>
      <c r="F8" s="9" t="s">
        <v>324</v>
      </c>
      <c r="G8" s="10">
        <v>46167</v>
      </c>
      <c r="H8" s="8" t="s">
        <v>325</v>
      </c>
      <c r="I8" s="8" t="s">
        <v>307</v>
      </c>
      <c r="J8" s="8" t="s">
        <v>129</v>
      </c>
    </row>
    <row r="9" spans="1:10" ht="30" customHeight="1" x14ac:dyDescent="0.25">
      <c r="A9" s="7">
        <v>7</v>
      </c>
      <c r="B9" s="8" t="s">
        <v>132</v>
      </c>
      <c r="C9" s="8" t="s">
        <v>302</v>
      </c>
      <c r="D9" s="8" t="s">
        <v>326</v>
      </c>
      <c r="E9" s="8" t="s">
        <v>327</v>
      </c>
      <c r="F9" s="9" t="s">
        <v>328</v>
      </c>
      <c r="G9" s="10">
        <v>46164</v>
      </c>
      <c r="H9" s="8" t="s">
        <v>321</v>
      </c>
      <c r="I9" s="8" t="s">
        <v>307</v>
      </c>
      <c r="J9" s="8" t="s">
        <v>129</v>
      </c>
    </row>
    <row r="10" spans="1:10" ht="30" customHeight="1" x14ac:dyDescent="0.25">
      <c r="A10" s="7">
        <v>8</v>
      </c>
      <c r="B10" s="8" t="s">
        <v>132</v>
      </c>
      <c r="C10" s="8" t="s">
        <v>302</v>
      </c>
      <c r="D10" s="8" t="s">
        <v>329</v>
      </c>
      <c r="E10" s="8" t="s">
        <v>330</v>
      </c>
      <c r="F10" s="9" t="s">
        <v>331</v>
      </c>
      <c r="G10" s="10">
        <v>46170</v>
      </c>
      <c r="H10" s="8" t="s">
        <v>325</v>
      </c>
      <c r="I10" s="8" t="s">
        <v>307</v>
      </c>
      <c r="J10" s="8" t="s">
        <v>129</v>
      </c>
    </row>
    <row r="11" spans="1:10" ht="30" customHeight="1" x14ac:dyDescent="0.25">
      <c r="A11" s="7">
        <v>9</v>
      </c>
      <c r="B11" s="8" t="s">
        <v>119</v>
      </c>
      <c r="C11" s="8" t="s">
        <v>332</v>
      </c>
      <c r="D11" s="8" t="s">
        <v>303</v>
      </c>
      <c r="E11" s="8" t="s">
        <v>333</v>
      </c>
      <c r="F11" s="9" t="s">
        <v>334</v>
      </c>
      <c r="G11" s="10">
        <v>45631</v>
      </c>
      <c r="H11" s="8" t="s">
        <v>306</v>
      </c>
      <c r="I11" s="8" t="s">
        <v>307</v>
      </c>
      <c r="J11" s="8" t="s">
        <v>129</v>
      </c>
    </row>
    <row r="12" spans="1:10" ht="30" customHeight="1" x14ac:dyDescent="0.25">
      <c r="A12" s="7">
        <v>10</v>
      </c>
      <c r="B12" s="8" t="s">
        <v>119</v>
      </c>
      <c r="C12" s="8" t="s">
        <v>332</v>
      </c>
      <c r="D12" s="8" t="s">
        <v>308</v>
      </c>
      <c r="E12" s="8" t="s">
        <v>335</v>
      </c>
      <c r="F12" s="9" t="s">
        <v>336</v>
      </c>
      <c r="G12" s="10">
        <v>45631</v>
      </c>
      <c r="H12" s="8" t="s">
        <v>306</v>
      </c>
      <c r="I12" s="8" t="s">
        <v>307</v>
      </c>
      <c r="J12" s="8" t="s">
        <v>129</v>
      </c>
    </row>
    <row r="13" spans="1:10" ht="30" customHeight="1" x14ac:dyDescent="0.25">
      <c r="A13" s="7">
        <v>11</v>
      </c>
      <c r="B13" s="8" t="s">
        <v>119</v>
      </c>
      <c r="C13" s="8" t="s">
        <v>332</v>
      </c>
      <c r="D13" s="8" t="s">
        <v>311</v>
      </c>
      <c r="E13" s="8" t="s">
        <v>337</v>
      </c>
      <c r="F13" s="9" t="s">
        <v>338</v>
      </c>
      <c r="G13" s="10">
        <v>45631</v>
      </c>
      <c r="H13" s="8" t="s">
        <v>306</v>
      </c>
      <c r="I13" s="8" t="s">
        <v>307</v>
      </c>
      <c r="J13" s="8" t="s">
        <v>129</v>
      </c>
    </row>
    <row r="14" spans="1:10" ht="30" customHeight="1" x14ac:dyDescent="0.25">
      <c r="A14" s="7">
        <v>12</v>
      </c>
      <c r="B14" s="8" t="s">
        <v>119</v>
      </c>
      <c r="C14" s="8" t="s">
        <v>332</v>
      </c>
      <c r="D14" s="8" t="s">
        <v>314</v>
      </c>
      <c r="E14" s="8" t="s">
        <v>339</v>
      </c>
      <c r="F14" s="9" t="s">
        <v>340</v>
      </c>
      <c r="G14" s="10">
        <v>45631</v>
      </c>
      <c r="H14" s="8" t="s">
        <v>306</v>
      </c>
      <c r="I14" s="8" t="s">
        <v>307</v>
      </c>
      <c r="J14" s="8" t="s">
        <v>129</v>
      </c>
    </row>
    <row r="15" spans="1:10" ht="30" customHeight="1" x14ac:dyDescent="0.25">
      <c r="A15" s="7">
        <v>13</v>
      </c>
      <c r="B15" s="8" t="s">
        <v>119</v>
      </c>
      <c r="C15" s="8" t="s">
        <v>332</v>
      </c>
      <c r="D15" s="8" t="s">
        <v>318</v>
      </c>
      <c r="E15" s="8" t="s">
        <v>341</v>
      </c>
      <c r="F15" s="9" t="s">
        <v>342</v>
      </c>
      <c r="G15" s="10">
        <v>45631</v>
      </c>
      <c r="H15" s="8" t="s">
        <v>306</v>
      </c>
      <c r="I15" s="8" t="s">
        <v>307</v>
      </c>
      <c r="J15" s="8" t="s">
        <v>129</v>
      </c>
    </row>
    <row r="16" spans="1:10" ht="30" customHeight="1" x14ac:dyDescent="0.25">
      <c r="A16" s="7">
        <v>14</v>
      </c>
      <c r="B16" s="8" t="s">
        <v>119</v>
      </c>
      <c r="C16" s="8" t="s">
        <v>332</v>
      </c>
      <c r="D16" s="8" t="s">
        <v>322</v>
      </c>
      <c r="E16" s="8" t="s">
        <v>343</v>
      </c>
      <c r="F16" s="9" t="s">
        <v>344</v>
      </c>
      <c r="G16" s="10">
        <v>45631</v>
      </c>
      <c r="H16" s="8" t="s">
        <v>306</v>
      </c>
      <c r="I16" s="8" t="s">
        <v>307</v>
      </c>
      <c r="J16" s="8" t="s">
        <v>129</v>
      </c>
    </row>
    <row r="17" spans="1:10" ht="30" customHeight="1" x14ac:dyDescent="0.25">
      <c r="A17" s="7">
        <v>15</v>
      </c>
      <c r="B17" s="8" t="s">
        <v>119</v>
      </c>
      <c r="C17" s="8" t="s">
        <v>332</v>
      </c>
      <c r="D17" s="8" t="s">
        <v>326</v>
      </c>
      <c r="E17" s="8" t="s">
        <v>345</v>
      </c>
      <c r="F17" s="9" t="s">
        <v>346</v>
      </c>
      <c r="G17" s="10">
        <v>45631</v>
      </c>
      <c r="H17" s="8" t="s">
        <v>306</v>
      </c>
      <c r="I17" s="8" t="s">
        <v>307</v>
      </c>
      <c r="J17" s="8" t="s">
        <v>129</v>
      </c>
    </row>
    <row r="18" spans="1:10" ht="30" customHeight="1" x14ac:dyDescent="0.25">
      <c r="A18" s="7">
        <v>16</v>
      </c>
      <c r="B18" s="8" t="s">
        <v>119</v>
      </c>
      <c r="C18" s="8" t="s">
        <v>332</v>
      </c>
      <c r="D18" s="8" t="s">
        <v>329</v>
      </c>
      <c r="E18" s="8" t="s">
        <v>347</v>
      </c>
      <c r="F18" s="9" t="s">
        <v>348</v>
      </c>
      <c r="G18" s="10">
        <v>45631</v>
      </c>
      <c r="H18" s="8" t="s">
        <v>306</v>
      </c>
      <c r="I18" s="8" t="s">
        <v>307</v>
      </c>
      <c r="J18" s="8" t="s">
        <v>129</v>
      </c>
    </row>
    <row r="19" spans="1:10" x14ac:dyDescent="0.25">
      <c r="A19" s="11"/>
      <c r="B19" s="11"/>
      <c r="C19" s="11"/>
      <c r="D19" s="11"/>
      <c r="E19" s="11"/>
      <c r="F19" s="11"/>
      <c r="G19" s="12"/>
      <c r="H19" s="11"/>
      <c r="I19" s="11"/>
      <c r="J19" s="11"/>
    </row>
    <row r="20" spans="1:10" x14ac:dyDescent="0.25">
      <c r="A20" s="11"/>
      <c r="B20" s="11"/>
      <c r="C20" s="11"/>
      <c r="D20" s="11"/>
      <c r="E20" s="11"/>
      <c r="F20" s="11"/>
      <c r="G20" s="12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2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2"/>
      <c r="H22" s="11"/>
      <c r="I22" s="11"/>
      <c r="J22" s="11"/>
    </row>
    <row r="23" spans="1:10" x14ac:dyDescent="0.25">
      <c r="A23" s="11"/>
      <c r="B23" s="11"/>
      <c r="C23" s="11"/>
      <c r="D23" s="11"/>
      <c r="E23" s="11"/>
      <c r="F23" s="11"/>
      <c r="G23" s="12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2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2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2"/>
      <c r="H26" s="11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2"/>
      <c r="H27" s="11"/>
      <c r="I27" s="11"/>
      <c r="J27" s="11"/>
    </row>
    <row r="28" spans="1:10" x14ac:dyDescent="0.25">
      <c r="A28" s="11"/>
      <c r="B28" s="11"/>
      <c r="C28" s="11"/>
      <c r="D28" s="11"/>
      <c r="E28" s="11"/>
      <c r="F28" s="11"/>
      <c r="G28" s="12"/>
      <c r="H28" s="11"/>
      <c r="I28" s="11"/>
      <c r="J28" s="11"/>
    </row>
    <row r="29" spans="1:10" x14ac:dyDescent="0.25">
      <c r="A29" s="11"/>
      <c r="B29" s="11"/>
      <c r="C29" s="11"/>
      <c r="D29" s="11"/>
      <c r="E29" s="11"/>
      <c r="F29" s="11"/>
      <c r="G29" s="12"/>
      <c r="H29" s="11"/>
      <c r="I29" s="11"/>
      <c r="J29" s="11"/>
    </row>
    <row r="30" spans="1:10" x14ac:dyDescent="0.25">
      <c r="A30" s="11"/>
      <c r="B30" s="11"/>
      <c r="C30" s="11"/>
      <c r="D30" s="11"/>
      <c r="E30" s="11"/>
      <c r="F30" s="11"/>
      <c r="G30" s="12"/>
      <c r="H30" s="11"/>
      <c r="I30" s="11"/>
      <c r="J30" s="11"/>
    </row>
    <row r="31" spans="1:10" x14ac:dyDescent="0.25">
      <c r="A31" s="11"/>
      <c r="B31" s="11"/>
      <c r="C31" s="11"/>
      <c r="D31" s="11"/>
      <c r="E31" s="11"/>
      <c r="F31" s="11"/>
      <c r="G31" s="12"/>
      <c r="H31" s="11"/>
      <c r="I31" s="11"/>
      <c r="J31" s="11"/>
    </row>
    <row r="32" spans="1:10" x14ac:dyDescent="0.25">
      <c r="A32" s="11"/>
      <c r="B32" s="11"/>
      <c r="C32" s="11"/>
      <c r="D32" s="11"/>
      <c r="E32" s="11"/>
      <c r="F32" s="11"/>
      <c r="G32" s="12"/>
      <c r="H32" s="11"/>
      <c r="I32" s="11"/>
      <c r="J32" s="11"/>
    </row>
    <row r="33" spans="1:10" x14ac:dyDescent="0.25">
      <c r="A33" s="11"/>
      <c r="B33" s="11"/>
      <c r="C33" s="11"/>
      <c r="D33" s="11"/>
      <c r="E33" s="11"/>
      <c r="F33" s="11"/>
      <c r="G33" s="12"/>
      <c r="H33" s="11"/>
      <c r="I33" s="11"/>
      <c r="J33" s="11"/>
    </row>
    <row r="34" spans="1:10" x14ac:dyDescent="0.25">
      <c r="A34" s="11"/>
      <c r="B34" s="11"/>
      <c r="C34" s="11"/>
      <c r="D34" s="11"/>
      <c r="E34" s="11"/>
      <c r="F34" s="11"/>
      <c r="G34" s="12"/>
      <c r="H34" s="11"/>
      <c r="I34" s="11"/>
      <c r="J34" s="11"/>
    </row>
    <row r="35" spans="1:10" x14ac:dyDescent="0.25">
      <c r="A35" s="11"/>
      <c r="B35" s="11"/>
      <c r="C35" s="11"/>
      <c r="D35" s="11"/>
      <c r="E35" s="11"/>
      <c r="F35" s="11"/>
      <c r="G35" s="12"/>
      <c r="H35" s="11"/>
      <c r="I35" s="11"/>
      <c r="J35" s="11"/>
    </row>
    <row r="36" spans="1:10" x14ac:dyDescent="0.25">
      <c r="A36" s="11"/>
      <c r="B36" s="11"/>
      <c r="C36" s="11"/>
      <c r="D36" s="11"/>
      <c r="E36" s="11"/>
      <c r="F36" s="11"/>
      <c r="G36" s="12"/>
      <c r="H36" s="11"/>
      <c r="I36" s="11"/>
      <c r="J36" s="11"/>
    </row>
    <row r="37" spans="1:10" x14ac:dyDescent="0.25">
      <c r="A37" s="11"/>
      <c r="B37" s="11"/>
      <c r="C37" s="11"/>
      <c r="D37" s="11"/>
      <c r="E37" s="11"/>
      <c r="F37" s="11"/>
      <c r="G37" s="12"/>
      <c r="H37" s="11"/>
      <c r="I37" s="11"/>
      <c r="J37" s="11"/>
    </row>
    <row r="38" spans="1:10" x14ac:dyDescent="0.25">
      <c r="A38" s="11"/>
      <c r="B38" s="11"/>
      <c r="C38" s="11"/>
      <c r="D38" s="11"/>
      <c r="E38" s="11"/>
      <c r="F38" s="11"/>
      <c r="G38" s="12"/>
      <c r="H38" s="11"/>
      <c r="I38" s="11"/>
      <c r="J38" s="11"/>
    </row>
    <row r="39" spans="1:10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</row>
    <row r="40" spans="1:10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</row>
    <row r="41" spans="1:10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</row>
    <row r="42" spans="1:10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</row>
    <row r="43" spans="1:10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</row>
  </sheetData>
  <mergeCells count="1">
    <mergeCell ref="A1:J1"/>
  </mergeCells>
  <hyperlinks>
    <hyperlink ref="F3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  <hyperlink ref="F8" r:id="rId6" xr:uid="{00000000-0004-0000-0200-000005000000}"/>
    <hyperlink ref="F9" r:id="rId7" xr:uid="{00000000-0004-0000-0200-000006000000}"/>
    <hyperlink ref="F10" r:id="rId8" xr:uid="{00000000-0004-0000-0200-000007000000}"/>
    <hyperlink ref="F11" r:id="rId9" xr:uid="{00000000-0004-0000-0200-000008000000}"/>
    <hyperlink ref="F12" r:id="rId10" xr:uid="{00000000-0004-0000-0200-000009000000}"/>
    <hyperlink ref="F13" r:id="rId11" xr:uid="{00000000-0004-0000-0200-00000A000000}"/>
    <hyperlink ref="F14" r:id="rId12" xr:uid="{00000000-0004-0000-0200-00000B000000}"/>
    <hyperlink ref="F15" r:id="rId13" xr:uid="{00000000-0004-0000-0200-00000C000000}"/>
    <hyperlink ref="F16" r:id="rId14" xr:uid="{00000000-0004-0000-0200-00000D000000}"/>
    <hyperlink ref="F17" r:id="rId15" xr:uid="{00000000-0004-0000-0200-00000E000000}"/>
    <hyperlink ref="F18" r:id="rId16" xr:uid="{00000000-0004-0000-0200-00000F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'DM_Danh muc'!$O$3:$O$10</xm:f>
          </x14:formula1>
          <x14:formula2>
            <xm:f>0</xm:f>
          </x14:formula2>
          <xm:sqref>D3:D43</xm:sqref>
        </x14:dataValidation>
        <x14:dataValidation type="list" allowBlank="1" xr:uid="{00000000-0002-0000-0200-000001000000}">
          <x14:formula1>
            <xm:f>'DM_Danh muc'!$L$3:$L$7</xm:f>
          </x14:formula1>
          <x14:formula2>
            <xm:f>0</xm:f>
          </x14:formula2>
          <xm:sqref>J3:J43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M32"/>
  <sheetViews>
    <sheetView zoomScaleNormal="100" workbookViewId="0">
      <pane ySplit="2" topLeftCell="A3" activePane="bottomLeft" state="frozen"/>
      <selection pane="bottomLeft" activeCell="F3" sqref="E3:F7"/>
    </sheetView>
  </sheetViews>
  <sheetFormatPr defaultColWidth="8.7109375" defaultRowHeight="15" x14ac:dyDescent="0.25"/>
  <cols>
    <col min="1" max="1" width="6" customWidth="1"/>
    <col min="2" max="2" width="16" customWidth="1"/>
    <col min="3" max="3" width="20" customWidth="1"/>
    <col min="4" max="4" width="10" customWidth="1"/>
    <col min="5" max="5" width="22" customWidth="1"/>
    <col min="6" max="6" width="26" customWidth="1"/>
    <col min="7" max="7" width="11" customWidth="1"/>
    <col min="8" max="8" width="20" customWidth="1"/>
    <col min="9" max="9" width="11" customWidth="1"/>
    <col min="10" max="10" width="12" customWidth="1"/>
    <col min="11" max="13" width="11" customWidth="1"/>
  </cols>
  <sheetData>
    <row r="1" spans="1:13" ht="15.75" x14ac:dyDescent="0.25">
      <c r="A1" s="95" t="s">
        <v>349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39.75" customHeight="1" x14ac:dyDescent="0.25">
      <c r="A2" s="13" t="s">
        <v>293</v>
      </c>
      <c r="B2" s="13" t="s">
        <v>60</v>
      </c>
      <c r="C2" s="13" t="s">
        <v>294</v>
      </c>
      <c r="D2" s="13" t="s">
        <v>350</v>
      </c>
      <c r="E2" s="13" t="s">
        <v>351</v>
      </c>
      <c r="F2" s="13" t="s">
        <v>352</v>
      </c>
      <c r="G2" s="13" t="s">
        <v>353</v>
      </c>
      <c r="H2" s="13" t="s">
        <v>354</v>
      </c>
      <c r="I2" s="13" t="s">
        <v>355</v>
      </c>
      <c r="J2" s="13" t="s">
        <v>301</v>
      </c>
      <c r="K2" s="13" t="s">
        <v>299</v>
      </c>
      <c r="L2" s="13" t="s">
        <v>300</v>
      </c>
      <c r="M2" s="13" t="s">
        <v>356</v>
      </c>
    </row>
    <row r="3" spans="1:13" ht="30" customHeight="1" x14ac:dyDescent="0.25">
      <c r="A3" s="7">
        <v>1</v>
      </c>
      <c r="B3" s="8" t="s">
        <v>132</v>
      </c>
      <c r="C3" s="8" t="s">
        <v>302</v>
      </c>
      <c r="D3" s="8" t="s">
        <v>357</v>
      </c>
      <c r="E3" s="8" t="s">
        <v>358</v>
      </c>
      <c r="F3" s="8" t="s">
        <v>359</v>
      </c>
      <c r="G3" s="8" t="s">
        <v>360</v>
      </c>
      <c r="H3" s="9" t="s">
        <v>361</v>
      </c>
      <c r="I3" s="8" t="s">
        <v>362</v>
      </c>
      <c r="J3" s="8" t="s">
        <v>129</v>
      </c>
      <c r="K3" s="8" t="s">
        <v>325</v>
      </c>
      <c r="L3" s="8" t="s">
        <v>363</v>
      </c>
      <c r="M3" s="10">
        <v>46172</v>
      </c>
    </row>
    <row r="4" spans="1:13" ht="30" customHeight="1" x14ac:dyDescent="0.25">
      <c r="A4" s="7">
        <v>2</v>
      </c>
      <c r="B4" s="8" t="s">
        <v>132</v>
      </c>
      <c r="C4" s="8" t="s">
        <v>302</v>
      </c>
      <c r="D4" s="8" t="s">
        <v>357</v>
      </c>
      <c r="E4" s="8" t="s">
        <v>364</v>
      </c>
      <c r="F4" s="8" t="s">
        <v>365</v>
      </c>
      <c r="G4" s="8" t="s">
        <v>360</v>
      </c>
      <c r="H4" s="9" t="s">
        <v>366</v>
      </c>
      <c r="I4" s="8" t="s">
        <v>362</v>
      </c>
      <c r="J4" s="8" t="s">
        <v>129</v>
      </c>
      <c r="K4" s="8" t="s">
        <v>325</v>
      </c>
      <c r="L4" s="8" t="s">
        <v>307</v>
      </c>
      <c r="M4" s="10">
        <v>46172</v>
      </c>
    </row>
    <row r="5" spans="1:13" ht="30" customHeight="1" x14ac:dyDescent="0.25">
      <c r="A5" s="7">
        <v>3</v>
      </c>
      <c r="B5" s="8" t="s">
        <v>132</v>
      </c>
      <c r="C5" s="8" t="s">
        <v>302</v>
      </c>
      <c r="D5" s="8" t="s">
        <v>357</v>
      </c>
      <c r="E5" s="8" t="s">
        <v>367</v>
      </c>
      <c r="F5" s="8" t="s">
        <v>368</v>
      </c>
      <c r="G5" s="8" t="s">
        <v>360</v>
      </c>
      <c r="H5" s="9" t="s">
        <v>369</v>
      </c>
      <c r="I5" s="8" t="s">
        <v>362</v>
      </c>
      <c r="J5" s="8" t="s">
        <v>129</v>
      </c>
      <c r="K5" s="8" t="s">
        <v>325</v>
      </c>
      <c r="L5" s="8" t="s">
        <v>363</v>
      </c>
      <c r="M5" s="10">
        <v>46173</v>
      </c>
    </row>
    <row r="6" spans="1:13" ht="30" customHeight="1" x14ac:dyDescent="0.25">
      <c r="A6" s="7">
        <v>4</v>
      </c>
      <c r="B6" s="8" t="s">
        <v>132</v>
      </c>
      <c r="C6" s="8" t="s">
        <v>302</v>
      </c>
      <c r="D6" s="8" t="s">
        <v>357</v>
      </c>
      <c r="E6" s="8" t="s">
        <v>370</v>
      </c>
      <c r="F6" s="8" t="s">
        <v>371</v>
      </c>
      <c r="G6" s="8" t="s">
        <v>360</v>
      </c>
      <c r="H6" s="9" t="s">
        <v>372</v>
      </c>
      <c r="I6" s="8" t="s">
        <v>362</v>
      </c>
      <c r="J6" s="8" t="s">
        <v>373</v>
      </c>
      <c r="K6" s="8" t="s">
        <v>325</v>
      </c>
      <c r="L6" s="8"/>
      <c r="M6" s="10"/>
    </row>
    <row r="7" spans="1:13" ht="30" customHeight="1" x14ac:dyDescent="0.25">
      <c r="A7" s="7">
        <v>5</v>
      </c>
      <c r="B7" s="8" t="s">
        <v>132</v>
      </c>
      <c r="C7" s="8" t="s">
        <v>302</v>
      </c>
      <c r="D7" s="8" t="s">
        <v>357</v>
      </c>
      <c r="E7" s="8" t="s">
        <v>374</v>
      </c>
      <c r="F7" s="8" t="s">
        <v>375</v>
      </c>
      <c r="G7" s="8" t="s">
        <v>360</v>
      </c>
      <c r="H7" s="9" t="s">
        <v>376</v>
      </c>
      <c r="I7" s="8" t="s">
        <v>362</v>
      </c>
      <c r="J7" s="8" t="s">
        <v>129</v>
      </c>
      <c r="K7" s="8" t="s">
        <v>325</v>
      </c>
      <c r="L7" s="8" t="s">
        <v>307</v>
      </c>
      <c r="M7" s="10">
        <v>46173</v>
      </c>
    </row>
    <row r="8" spans="1:13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3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spans="1:13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spans="1:13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3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</row>
    <row r="22" spans="1:13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spans="1:13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</row>
    <row r="25" spans="1:13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</row>
    <row r="26" spans="1:13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</row>
    <row r="27" spans="1:13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spans="1:13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</row>
    <row r="29" spans="1:13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spans="1:13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</row>
    <row r="32" spans="1:13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</row>
  </sheetData>
  <mergeCells count="1">
    <mergeCell ref="A1:M1"/>
  </mergeCells>
  <hyperlinks>
    <hyperlink ref="H3" r:id="rId1" xr:uid="{00000000-0004-0000-0300-000000000000}"/>
    <hyperlink ref="H4" r:id="rId2" xr:uid="{00000000-0004-0000-0300-000001000000}"/>
    <hyperlink ref="H5" r:id="rId3" xr:uid="{00000000-0004-0000-0300-000002000000}"/>
    <hyperlink ref="H6" r:id="rId4" xr:uid="{00000000-0004-0000-0300-000003000000}"/>
    <hyperlink ref="H7" r:id="rId5" xr:uid="{00000000-0004-0000-0300-000004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'DM_Danh muc'!$P$3:$P$7</xm:f>
          </x14:formula1>
          <x14:formula2>
            <xm:f>0</xm:f>
          </x14:formula2>
          <xm:sqref>E3:E32</xm:sqref>
        </x14:dataValidation>
        <x14:dataValidation type="list" allowBlank="1" xr:uid="{00000000-0002-0000-0300-000001000000}">
          <x14:formula1>
            <xm:f>'DM_Danh muc'!$T$3:$T$4</xm:f>
          </x14:formula1>
          <x14:formula2>
            <xm:f>0</xm:f>
          </x14:formula2>
          <xm:sqref>G3:G32</xm:sqref>
        </x14:dataValidation>
        <x14:dataValidation type="list" allowBlank="1" xr:uid="{00000000-0002-0000-0300-000002000000}">
          <x14:formula1>
            <xm:f>'DM_Danh muc'!$L$3:$L$7</xm:f>
          </x14:formula1>
          <x14:formula2>
            <xm:f>0</xm:f>
          </x14:formula2>
          <xm:sqref>I3:J32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Q29"/>
  <sheetViews>
    <sheetView zoomScale="85" zoomScaleNormal="85" workbookViewId="0">
      <pane ySplit="2" topLeftCell="A3" activePane="bottomLeft" state="frozen"/>
      <selection pane="bottomLeft" activeCell="G4" sqref="G4"/>
    </sheetView>
  </sheetViews>
  <sheetFormatPr defaultColWidth="8.7109375" defaultRowHeight="15" x14ac:dyDescent="0.25"/>
  <cols>
    <col min="1" max="1" width="6" customWidth="1"/>
    <col min="2" max="2" width="13" customWidth="1"/>
    <col min="3" max="3" width="15" customWidth="1"/>
    <col min="4" max="4" width="18" customWidth="1"/>
    <col min="5" max="5" width="11" customWidth="1"/>
    <col min="6" max="6" width="16" customWidth="1"/>
    <col min="7" max="7" width="24" customWidth="1"/>
    <col min="8" max="8" width="18" customWidth="1"/>
    <col min="9" max="9" width="20" customWidth="1"/>
    <col min="10" max="11" width="10" customWidth="1"/>
    <col min="12" max="12" width="18" customWidth="1"/>
    <col min="13" max="13" width="12" customWidth="1"/>
    <col min="14" max="15" width="11" customWidth="1"/>
    <col min="16" max="16" width="24" customWidth="1"/>
    <col min="17" max="17" width="14" customWidth="1"/>
  </cols>
  <sheetData>
    <row r="1" spans="1:17" ht="15.75" x14ac:dyDescent="0.25">
      <c r="A1" s="95" t="s">
        <v>377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ht="39.75" customHeight="1" x14ac:dyDescent="0.25">
      <c r="A2" s="14" t="s">
        <v>293</v>
      </c>
      <c r="B2" s="14" t="s">
        <v>378</v>
      </c>
      <c r="C2" s="14" t="s">
        <v>60</v>
      </c>
      <c r="D2" s="14" t="s">
        <v>294</v>
      </c>
      <c r="E2" s="14" t="s">
        <v>379</v>
      </c>
      <c r="F2" s="14" t="s">
        <v>380</v>
      </c>
      <c r="G2" s="14" t="s">
        <v>381</v>
      </c>
      <c r="H2" s="14" t="s">
        <v>382</v>
      </c>
      <c r="I2" s="14" t="s">
        <v>383</v>
      </c>
      <c r="J2" s="14" t="s">
        <v>384</v>
      </c>
      <c r="K2" s="14" t="s">
        <v>385</v>
      </c>
      <c r="L2" s="14" t="s">
        <v>386</v>
      </c>
      <c r="M2" s="14" t="s">
        <v>301</v>
      </c>
      <c r="N2" s="14" t="s">
        <v>300</v>
      </c>
      <c r="O2" s="14" t="s">
        <v>356</v>
      </c>
      <c r="P2" s="14" t="s">
        <v>387</v>
      </c>
      <c r="Q2" s="14" t="s">
        <v>388</v>
      </c>
    </row>
    <row r="3" spans="1:17" ht="30" customHeight="1" x14ac:dyDescent="0.25">
      <c r="A3" s="7">
        <v>1</v>
      </c>
      <c r="B3" s="8" t="s">
        <v>389</v>
      </c>
      <c r="C3" s="8" t="s">
        <v>132</v>
      </c>
      <c r="D3" s="8" t="s">
        <v>390</v>
      </c>
      <c r="E3" s="10">
        <v>46185</v>
      </c>
      <c r="F3" s="8" t="s">
        <v>391</v>
      </c>
      <c r="G3" s="8" t="s">
        <v>392</v>
      </c>
      <c r="H3" s="8" t="s">
        <v>393</v>
      </c>
      <c r="I3" s="8" t="s">
        <v>394</v>
      </c>
      <c r="J3" s="15">
        <v>0.8</v>
      </c>
      <c r="K3" s="15">
        <v>5</v>
      </c>
      <c r="L3" s="9" t="s">
        <v>395</v>
      </c>
      <c r="M3" s="8" t="s">
        <v>373</v>
      </c>
      <c r="N3" s="8"/>
      <c r="O3" s="10"/>
      <c r="P3" s="8" t="s">
        <v>396</v>
      </c>
      <c r="Q3" s="8"/>
    </row>
    <row r="4" spans="1:17" ht="30" customHeight="1" x14ac:dyDescent="0.25">
      <c r="A4" s="7">
        <v>2</v>
      </c>
      <c r="B4" s="8" t="s">
        <v>397</v>
      </c>
      <c r="C4" s="8" t="s">
        <v>132</v>
      </c>
      <c r="D4" s="8" t="s">
        <v>398</v>
      </c>
      <c r="E4" s="10">
        <v>46188</v>
      </c>
      <c r="F4" s="8" t="s">
        <v>399</v>
      </c>
      <c r="G4" s="8" t="s">
        <v>400</v>
      </c>
      <c r="H4" s="8" t="s">
        <v>401</v>
      </c>
      <c r="I4" s="8" t="s">
        <v>402</v>
      </c>
      <c r="J4" s="15">
        <v>0</v>
      </c>
      <c r="K4" s="15">
        <v>0</v>
      </c>
      <c r="L4" s="9" t="s">
        <v>403</v>
      </c>
      <c r="M4" s="8" t="s">
        <v>129</v>
      </c>
      <c r="N4" s="8" t="s">
        <v>306</v>
      </c>
      <c r="O4" s="10">
        <v>46190</v>
      </c>
      <c r="P4" s="8" t="s">
        <v>404</v>
      </c>
      <c r="Q4" s="8"/>
    </row>
    <row r="5" spans="1:17" x14ac:dyDescent="0.25">
      <c r="A5" s="11"/>
      <c r="B5" s="11"/>
      <c r="C5" s="11"/>
      <c r="D5" s="11"/>
      <c r="E5" s="12"/>
      <c r="F5" s="11"/>
      <c r="G5" s="11"/>
      <c r="H5" s="11"/>
      <c r="I5" s="11"/>
      <c r="J5" s="16"/>
      <c r="K5" s="16"/>
      <c r="L5" s="11"/>
      <c r="M5" s="11"/>
      <c r="N5" s="11"/>
      <c r="O5" s="12"/>
      <c r="P5" s="11"/>
      <c r="Q5" s="11"/>
    </row>
    <row r="6" spans="1:17" x14ac:dyDescent="0.25">
      <c r="A6" s="11"/>
      <c r="B6" s="11"/>
      <c r="C6" s="11"/>
      <c r="D6" s="11"/>
      <c r="E6" s="12"/>
      <c r="F6" s="11"/>
      <c r="G6" s="11"/>
      <c r="H6" s="11"/>
      <c r="I6" s="11"/>
      <c r="J6" s="16"/>
      <c r="K6" s="16"/>
      <c r="L6" s="11"/>
      <c r="M6" s="11"/>
      <c r="N6" s="11"/>
      <c r="O6" s="12"/>
      <c r="P6" s="11"/>
      <c r="Q6" s="11"/>
    </row>
    <row r="7" spans="1:17" x14ac:dyDescent="0.25">
      <c r="A7" s="11"/>
      <c r="B7" s="11"/>
      <c r="C7" s="11"/>
      <c r="D7" s="11"/>
      <c r="E7" s="12"/>
      <c r="F7" s="11"/>
      <c r="G7" s="11"/>
      <c r="H7" s="11"/>
      <c r="I7" s="11"/>
      <c r="J7" s="16"/>
      <c r="K7" s="16"/>
      <c r="L7" s="11"/>
      <c r="M7" s="11"/>
      <c r="N7" s="11"/>
      <c r="O7" s="12"/>
      <c r="P7" s="11"/>
      <c r="Q7" s="11"/>
    </row>
    <row r="8" spans="1:17" x14ac:dyDescent="0.25">
      <c r="A8" s="11"/>
      <c r="B8" s="11"/>
      <c r="C8" s="11"/>
      <c r="D8" s="11"/>
      <c r="E8" s="12"/>
      <c r="F8" s="11"/>
      <c r="G8" s="11"/>
      <c r="H8" s="11"/>
      <c r="I8" s="11"/>
      <c r="J8" s="16"/>
      <c r="K8" s="16"/>
      <c r="L8" s="11"/>
      <c r="M8" s="11"/>
      <c r="N8" s="11"/>
      <c r="O8" s="12"/>
      <c r="P8" s="11"/>
      <c r="Q8" s="11"/>
    </row>
    <row r="9" spans="1:17" x14ac:dyDescent="0.25">
      <c r="A9" s="11"/>
      <c r="B9" s="11"/>
      <c r="C9" s="11"/>
      <c r="D9" s="11"/>
      <c r="E9" s="12"/>
      <c r="F9" s="11"/>
      <c r="G9" s="11"/>
      <c r="H9" s="11"/>
      <c r="I9" s="11"/>
      <c r="J9" s="16"/>
      <c r="K9" s="16"/>
      <c r="L9" s="11"/>
      <c r="M9" s="11"/>
      <c r="N9" s="11"/>
      <c r="O9" s="12"/>
      <c r="P9" s="11"/>
      <c r="Q9" s="11"/>
    </row>
    <row r="10" spans="1:17" x14ac:dyDescent="0.25">
      <c r="A10" s="11"/>
      <c r="B10" s="11"/>
      <c r="C10" s="11"/>
      <c r="D10" s="11"/>
      <c r="E10" s="12"/>
      <c r="F10" s="11"/>
      <c r="G10" s="11"/>
      <c r="H10" s="11"/>
      <c r="I10" s="11"/>
      <c r="J10" s="16"/>
      <c r="K10" s="16"/>
      <c r="L10" s="11"/>
      <c r="M10" s="11"/>
      <c r="N10" s="11"/>
      <c r="O10" s="12"/>
      <c r="P10" s="11"/>
      <c r="Q10" s="11"/>
    </row>
    <row r="11" spans="1:17" x14ac:dyDescent="0.25">
      <c r="A11" s="11"/>
      <c r="B11" s="11"/>
      <c r="C11" s="11"/>
      <c r="D11" s="11"/>
      <c r="E11" s="12"/>
      <c r="F11" s="11"/>
      <c r="G11" s="11"/>
      <c r="H11" s="11"/>
      <c r="I11" s="11"/>
      <c r="J11" s="16"/>
      <c r="K11" s="16"/>
      <c r="L11" s="11"/>
      <c r="M11" s="11"/>
      <c r="N11" s="11"/>
      <c r="O11" s="12"/>
      <c r="P11" s="11"/>
      <c r="Q11" s="11"/>
    </row>
    <row r="12" spans="1:17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6"/>
      <c r="K12" s="16"/>
      <c r="L12" s="11"/>
      <c r="M12" s="11"/>
      <c r="N12" s="11"/>
      <c r="O12" s="12"/>
      <c r="P12" s="11"/>
      <c r="Q12" s="11"/>
    </row>
    <row r="13" spans="1:17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6"/>
      <c r="K13" s="16"/>
      <c r="L13" s="11"/>
      <c r="M13" s="11"/>
      <c r="N13" s="11"/>
      <c r="O13" s="12"/>
      <c r="P13" s="11"/>
      <c r="Q13" s="11"/>
    </row>
    <row r="14" spans="1:17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6"/>
      <c r="K14" s="16"/>
      <c r="L14" s="11"/>
      <c r="M14" s="11"/>
      <c r="N14" s="11"/>
      <c r="O14" s="12"/>
      <c r="P14" s="11"/>
      <c r="Q14" s="11"/>
    </row>
    <row r="15" spans="1:17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6"/>
      <c r="K15" s="16"/>
      <c r="L15" s="11"/>
      <c r="M15" s="11"/>
      <c r="N15" s="11"/>
      <c r="O15" s="12"/>
      <c r="P15" s="11"/>
      <c r="Q15" s="11"/>
    </row>
    <row r="16" spans="1:17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6"/>
      <c r="K16" s="16"/>
      <c r="L16" s="11"/>
      <c r="M16" s="11"/>
      <c r="N16" s="11"/>
      <c r="O16" s="12"/>
      <c r="P16" s="11"/>
      <c r="Q16" s="11"/>
    </row>
    <row r="17" spans="1:17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6"/>
      <c r="K17" s="16"/>
      <c r="L17" s="11"/>
      <c r="M17" s="11"/>
      <c r="N17" s="11"/>
      <c r="O17" s="12"/>
      <c r="P17" s="11"/>
      <c r="Q17" s="11"/>
    </row>
    <row r="18" spans="1:17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6"/>
      <c r="K18" s="16"/>
      <c r="L18" s="11"/>
      <c r="M18" s="11"/>
      <c r="N18" s="11"/>
      <c r="O18" s="12"/>
      <c r="P18" s="11"/>
      <c r="Q18" s="11"/>
    </row>
    <row r="19" spans="1:17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6"/>
      <c r="K19" s="16"/>
      <c r="L19" s="11"/>
      <c r="M19" s="11"/>
      <c r="N19" s="11"/>
      <c r="O19" s="12"/>
      <c r="P19" s="11"/>
      <c r="Q19" s="11"/>
    </row>
    <row r="20" spans="1:17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6"/>
      <c r="K20" s="16"/>
      <c r="L20" s="11"/>
      <c r="M20" s="11"/>
      <c r="N20" s="11"/>
      <c r="O20" s="12"/>
      <c r="P20" s="11"/>
      <c r="Q20" s="11"/>
    </row>
    <row r="21" spans="1:17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6"/>
      <c r="K21" s="16"/>
      <c r="L21" s="11"/>
      <c r="M21" s="11"/>
      <c r="N21" s="11"/>
      <c r="O21" s="12"/>
      <c r="P21" s="11"/>
      <c r="Q21" s="11"/>
    </row>
    <row r="22" spans="1:17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6"/>
      <c r="K22" s="16"/>
      <c r="L22" s="11"/>
      <c r="M22" s="11"/>
      <c r="N22" s="11"/>
      <c r="O22" s="12"/>
      <c r="P22" s="11"/>
      <c r="Q22" s="11"/>
    </row>
    <row r="23" spans="1:17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6"/>
      <c r="K23" s="16"/>
      <c r="L23" s="11"/>
      <c r="M23" s="11"/>
      <c r="N23" s="11"/>
      <c r="O23" s="12"/>
      <c r="P23" s="11"/>
      <c r="Q23" s="11"/>
    </row>
    <row r="24" spans="1:17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6"/>
      <c r="K24" s="16"/>
      <c r="L24" s="11"/>
      <c r="M24" s="11"/>
      <c r="N24" s="11"/>
      <c r="O24" s="12"/>
      <c r="P24" s="11"/>
      <c r="Q24" s="11"/>
    </row>
    <row r="25" spans="1:17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6"/>
      <c r="K25" s="16"/>
      <c r="L25" s="11"/>
      <c r="M25" s="11"/>
      <c r="N25" s="11"/>
      <c r="O25" s="12"/>
      <c r="P25" s="11"/>
      <c r="Q25" s="11"/>
    </row>
    <row r="26" spans="1:17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6"/>
      <c r="K26" s="16"/>
      <c r="L26" s="11"/>
      <c r="M26" s="11"/>
      <c r="N26" s="11"/>
      <c r="O26" s="12"/>
      <c r="P26" s="11"/>
      <c r="Q26" s="11"/>
    </row>
    <row r="27" spans="1:17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6"/>
      <c r="K27" s="16"/>
      <c r="L27" s="11"/>
      <c r="M27" s="11"/>
      <c r="N27" s="11"/>
      <c r="O27" s="12"/>
      <c r="P27" s="11"/>
      <c r="Q27" s="11"/>
    </row>
    <row r="28" spans="1:17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6"/>
      <c r="K28" s="16"/>
      <c r="L28" s="11"/>
      <c r="M28" s="11"/>
      <c r="N28" s="11"/>
      <c r="O28" s="12"/>
      <c r="P28" s="11"/>
      <c r="Q28" s="11"/>
    </row>
    <row r="29" spans="1:17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6"/>
      <c r="K29" s="16"/>
      <c r="L29" s="11"/>
      <c r="M29" s="11"/>
      <c r="N29" s="11"/>
      <c r="O29" s="12"/>
      <c r="P29" s="11"/>
      <c r="Q29" s="11"/>
    </row>
  </sheetData>
  <mergeCells count="1">
    <mergeCell ref="A1:Q1"/>
  </mergeCells>
  <hyperlinks>
    <hyperlink ref="L3" r:id="rId1" xr:uid="{00000000-0004-0000-0400-000000000000}"/>
    <hyperlink ref="L4" r:id="rId2" xr:uid="{00000000-0004-0000-0400-000001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'DM_Danh muc'!$Q$3:$Q$7</xm:f>
          </x14:formula1>
          <x14:formula2>
            <xm:f>0</xm:f>
          </x14:formula2>
          <xm:sqref>F3:F29</xm:sqref>
        </x14:dataValidation>
        <x14:dataValidation type="list" allowBlank="1" xr:uid="{00000000-0002-0000-0400-000001000000}">
          <x14:formula1>
            <xm:f>'DM_Danh muc'!$L$3:$L$7</xm:f>
          </x14:formula1>
          <x14:formula2>
            <xm:f>0</xm:f>
          </x14:formula2>
          <xm:sqref>M3:M29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R29"/>
  <sheetViews>
    <sheetView zoomScale="85" zoomScaleNormal="85" workbookViewId="0">
      <pane ySplit="2" topLeftCell="A3" activePane="bottomLeft" state="frozen"/>
      <selection pane="bottomLeft" activeCell="J8" sqref="J8"/>
    </sheetView>
  </sheetViews>
  <sheetFormatPr defaultColWidth="8.7109375" defaultRowHeight="15" x14ac:dyDescent="0.25"/>
  <cols>
    <col min="1" max="1" width="6" customWidth="1"/>
    <col min="2" max="2" width="13" customWidth="1"/>
    <col min="3" max="3" width="15" customWidth="1"/>
    <col min="4" max="4" width="16" customWidth="1"/>
    <col min="5" max="6" width="11" customWidth="1"/>
    <col min="7" max="7" width="20" customWidth="1"/>
    <col min="8" max="8" width="22" customWidth="1"/>
    <col min="9" max="9" width="8" customWidth="1"/>
    <col min="10" max="10" width="7" customWidth="1"/>
    <col min="11" max="11" width="10" customWidth="1"/>
    <col min="12" max="12" width="13" customWidth="1"/>
    <col min="13" max="13" width="16" customWidth="1"/>
    <col min="14" max="14" width="12" customWidth="1"/>
    <col min="15" max="16" width="11" customWidth="1"/>
    <col min="17" max="17" width="13" customWidth="1"/>
    <col min="18" max="18" width="12" customWidth="1"/>
  </cols>
  <sheetData>
    <row r="1" spans="1:18" ht="15.75" x14ac:dyDescent="0.25">
      <c r="A1" s="95" t="s">
        <v>405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8" ht="39.75" customHeight="1" x14ac:dyDescent="0.25">
      <c r="A2" s="5" t="s">
        <v>293</v>
      </c>
      <c r="B2" s="5" t="s">
        <v>406</v>
      </c>
      <c r="C2" s="5" t="s">
        <v>60</v>
      </c>
      <c r="D2" s="5" t="s">
        <v>294</v>
      </c>
      <c r="E2" s="5" t="s">
        <v>407</v>
      </c>
      <c r="F2" s="5" t="s">
        <v>408</v>
      </c>
      <c r="G2" s="5" t="s">
        <v>409</v>
      </c>
      <c r="H2" s="5" t="s">
        <v>410</v>
      </c>
      <c r="I2" s="5" t="s">
        <v>411</v>
      </c>
      <c r="J2" s="5" t="s">
        <v>412</v>
      </c>
      <c r="K2" s="5" t="s">
        <v>384</v>
      </c>
      <c r="L2" s="5" t="s">
        <v>413</v>
      </c>
      <c r="M2" s="5" t="s">
        <v>386</v>
      </c>
      <c r="N2" s="5" t="s">
        <v>301</v>
      </c>
      <c r="O2" s="5" t="s">
        <v>300</v>
      </c>
      <c r="P2" s="5" t="s">
        <v>414</v>
      </c>
      <c r="Q2" s="5" t="s">
        <v>415</v>
      </c>
      <c r="R2" s="5" t="s">
        <v>388</v>
      </c>
    </row>
    <row r="3" spans="1:18" ht="30" customHeight="1" x14ac:dyDescent="0.25">
      <c r="A3" s="7">
        <v>1</v>
      </c>
      <c r="B3" s="8" t="s">
        <v>416</v>
      </c>
      <c r="C3" s="8" t="s">
        <v>132</v>
      </c>
      <c r="D3" s="8" t="s">
        <v>417</v>
      </c>
      <c r="E3" s="10">
        <v>46187</v>
      </c>
      <c r="F3" s="8" t="s">
        <v>418</v>
      </c>
      <c r="G3" s="8" t="s">
        <v>419</v>
      </c>
      <c r="H3" s="8" t="s">
        <v>420</v>
      </c>
      <c r="I3" s="8">
        <v>120</v>
      </c>
      <c r="J3" s="8" t="s">
        <v>421</v>
      </c>
      <c r="K3" s="15">
        <v>1.2</v>
      </c>
      <c r="L3" s="8" t="s">
        <v>422</v>
      </c>
      <c r="M3" s="9" t="s">
        <v>423</v>
      </c>
      <c r="N3" s="8" t="s">
        <v>373</v>
      </c>
      <c r="O3" s="8"/>
      <c r="P3" s="10">
        <v>46213</v>
      </c>
      <c r="Q3" s="8" t="s">
        <v>424</v>
      </c>
      <c r="R3" s="8"/>
    </row>
    <row r="4" spans="1:18" ht="30" customHeight="1" x14ac:dyDescent="0.25">
      <c r="A4" s="7">
        <v>2</v>
      </c>
      <c r="B4" s="8" t="s">
        <v>425</v>
      </c>
      <c r="C4" s="8" t="s">
        <v>132</v>
      </c>
      <c r="D4" s="8" t="s">
        <v>426</v>
      </c>
      <c r="E4" s="10">
        <v>46183</v>
      </c>
      <c r="F4" s="8" t="s">
        <v>427</v>
      </c>
      <c r="G4" s="8" t="s">
        <v>428</v>
      </c>
      <c r="H4" s="8" t="s">
        <v>429</v>
      </c>
      <c r="I4" s="8">
        <v>1</v>
      </c>
      <c r="J4" s="8" t="s">
        <v>430</v>
      </c>
      <c r="K4" s="15">
        <v>0.05</v>
      </c>
      <c r="L4" s="8" t="s">
        <v>431</v>
      </c>
      <c r="M4" s="9" t="s">
        <v>432</v>
      </c>
      <c r="N4" s="8" t="s">
        <v>129</v>
      </c>
      <c r="O4" s="8" t="s">
        <v>433</v>
      </c>
      <c r="P4" s="10">
        <v>46185</v>
      </c>
      <c r="Q4" s="8" t="s">
        <v>434</v>
      </c>
      <c r="R4" s="8"/>
    </row>
    <row r="5" spans="1:18" x14ac:dyDescent="0.25">
      <c r="A5" s="11"/>
      <c r="B5" s="11"/>
      <c r="C5" s="11"/>
      <c r="D5" s="11"/>
      <c r="E5" s="12"/>
      <c r="F5" s="11"/>
      <c r="G5" s="11"/>
      <c r="H5" s="11"/>
      <c r="I5" s="11"/>
      <c r="J5" s="11"/>
      <c r="K5" s="16"/>
      <c r="L5" s="11"/>
      <c r="M5" s="11"/>
      <c r="N5" s="11"/>
      <c r="O5" s="11"/>
      <c r="P5" s="12"/>
      <c r="Q5" s="11"/>
      <c r="R5" s="11"/>
    </row>
    <row r="6" spans="1:18" x14ac:dyDescent="0.25">
      <c r="A6" s="11"/>
      <c r="B6" s="11"/>
      <c r="C6" s="11"/>
      <c r="D6" s="11"/>
      <c r="E6" s="12"/>
      <c r="F6" s="11"/>
      <c r="G6" s="11"/>
      <c r="H6" s="11"/>
      <c r="I6" s="11"/>
      <c r="J6" s="11"/>
      <c r="K6" s="16"/>
      <c r="L6" s="11"/>
      <c r="M6" s="11"/>
      <c r="N6" s="11"/>
      <c r="O6" s="11"/>
      <c r="P6" s="12"/>
      <c r="Q6" s="11"/>
      <c r="R6" s="11"/>
    </row>
    <row r="7" spans="1:18" x14ac:dyDescent="0.25">
      <c r="A7" s="11"/>
      <c r="B7" s="11"/>
      <c r="C7" s="11"/>
      <c r="D7" s="11"/>
      <c r="E7" s="12"/>
      <c r="F7" s="11"/>
      <c r="G7" s="11"/>
      <c r="H7" s="11"/>
      <c r="I7" s="11"/>
      <c r="J7" s="11"/>
      <c r="K7" s="16"/>
      <c r="L7" s="11"/>
      <c r="M7" s="11"/>
      <c r="N7" s="11"/>
      <c r="O7" s="11"/>
      <c r="P7" s="12"/>
      <c r="Q7" s="11"/>
      <c r="R7" s="11"/>
    </row>
    <row r="8" spans="1:18" x14ac:dyDescent="0.25">
      <c r="A8" s="11"/>
      <c r="B8" s="11"/>
      <c r="C8" s="11"/>
      <c r="D8" s="11"/>
      <c r="E8" s="12"/>
      <c r="F8" s="11"/>
      <c r="G8" s="11"/>
      <c r="H8" s="11"/>
      <c r="I8" s="11"/>
      <c r="J8" s="11"/>
      <c r="K8" s="16"/>
      <c r="L8" s="11"/>
      <c r="M8" s="11"/>
      <c r="N8" s="11"/>
      <c r="O8" s="11"/>
      <c r="P8" s="12"/>
      <c r="Q8" s="11"/>
      <c r="R8" s="11"/>
    </row>
    <row r="9" spans="1:18" x14ac:dyDescent="0.25">
      <c r="A9" s="11"/>
      <c r="B9" s="11"/>
      <c r="C9" s="11"/>
      <c r="D9" s="11"/>
      <c r="E9" s="12"/>
      <c r="F9" s="11"/>
      <c r="G9" s="11"/>
      <c r="H9" s="11"/>
      <c r="I9" s="11"/>
      <c r="J9" s="11"/>
      <c r="K9" s="16"/>
      <c r="L9" s="11"/>
      <c r="M9" s="11"/>
      <c r="N9" s="11"/>
      <c r="O9" s="11"/>
      <c r="P9" s="12"/>
      <c r="Q9" s="11"/>
      <c r="R9" s="11"/>
    </row>
    <row r="10" spans="1:18" x14ac:dyDescent="0.25">
      <c r="A10" s="11"/>
      <c r="B10" s="11"/>
      <c r="C10" s="11"/>
      <c r="D10" s="11"/>
      <c r="E10" s="12"/>
      <c r="F10" s="11"/>
      <c r="G10" s="11"/>
      <c r="H10" s="11"/>
      <c r="I10" s="11"/>
      <c r="J10" s="11"/>
      <c r="K10" s="16"/>
      <c r="L10" s="11"/>
      <c r="M10" s="11"/>
      <c r="N10" s="11"/>
      <c r="O10" s="11"/>
      <c r="P10" s="12"/>
      <c r="Q10" s="11"/>
      <c r="R10" s="11"/>
    </row>
    <row r="11" spans="1:18" x14ac:dyDescent="0.25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6"/>
      <c r="L11" s="11"/>
      <c r="M11" s="11"/>
      <c r="N11" s="11"/>
      <c r="O11" s="11"/>
      <c r="P11" s="12"/>
      <c r="Q11" s="11"/>
      <c r="R11" s="11"/>
    </row>
    <row r="12" spans="1:18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6"/>
      <c r="L12" s="11"/>
      <c r="M12" s="11"/>
      <c r="N12" s="11"/>
      <c r="O12" s="11"/>
      <c r="P12" s="12"/>
      <c r="Q12" s="11"/>
      <c r="R12" s="11"/>
    </row>
    <row r="13" spans="1:18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6"/>
      <c r="L13" s="11"/>
      <c r="M13" s="11"/>
      <c r="N13" s="11"/>
      <c r="O13" s="11"/>
      <c r="P13" s="12"/>
      <c r="Q13" s="11"/>
      <c r="R13" s="11"/>
    </row>
    <row r="14" spans="1:18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6"/>
      <c r="L14" s="11"/>
      <c r="M14" s="11"/>
      <c r="N14" s="11"/>
      <c r="O14" s="11"/>
      <c r="P14" s="12"/>
      <c r="Q14" s="11"/>
      <c r="R14" s="11"/>
    </row>
    <row r="15" spans="1:18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6"/>
      <c r="L15" s="11"/>
      <c r="M15" s="11"/>
      <c r="N15" s="11"/>
      <c r="O15" s="11"/>
      <c r="P15" s="12"/>
      <c r="Q15" s="11"/>
      <c r="R15" s="11"/>
    </row>
    <row r="16" spans="1:18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6"/>
      <c r="L16" s="11"/>
      <c r="M16" s="11"/>
      <c r="N16" s="11"/>
      <c r="O16" s="11"/>
      <c r="P16" s="12"/>
      <c r="Q16" s="11"/>
      <c r="R16" s="11"/>
    </row>
    <row r="17" spans="1:18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6"/>
      <c r="L17" s="11"/>
      <c r="M17" s="11"/>
      <c r="N17" s="11"/>
      <c r="O17" s="11"/>
      <c r="P17" s="12"/>
      <c r="Q17" s="11"/>
      <c r="R17" s="11"/>
    </row>
    <row r="18" spans="1:18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6"/>
      <c r="L18" s="11"/>
      <c r="M18" s="11"/>
      <c r="N18" s="11"/>
      <c r="O18" s="11"/>
      <c r="P18" s="12"/>
      <c r="Q18" s="11"/>
      <c r="R18" s="11"/>
    </row>
    <row r="19" spans="1:18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6"/>
      <c r="L19" s="11"/>
      <c r="M19" s="11"/>
      <c r="N19" s="11"/>
      <c r="O19" s="11"/>
      <c r="P19" s="12"/>
      <c r="Q19" s="11"/>
      <c r="R19" s="11"/>
    </row>
    <row r="20" spans="1:18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6"/>
      <c r="L20" s="11"/>
      <c r="M20" s="11"/>
      <c r="N20" s="11"/>
      <c r="O20" s="11"/>
      <c r="P20" s="12"/>
      <c r="Q20" s="11"/>
      <c r="R20" s="11"/>
    </row>
    <row r="21" spans="1:18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6"/>
      <c r="L21" s="11"/>
      <c r="M21" s="11"/>
      <c r="N21" s="11"/>
      <c r="O21" s="11"/>
      <c r="P21" s="12"/>
      <c r="Q21" s="11"/>
      <c r="R21" s="11"/>
    </row>
    <row r="22" spans="1:18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6"/>
      <c r="L22" s="11"/>
      <c r="M22" s="11"/>
      <c r="N22" s="11"/>
      <c r="O22" s="11"/>
      <c r="P22" s="12"/>
      <c r="Q22" s="11"/>
      <c r="R22" s="11"/>
    </row>
    <row r="23" spans="1:18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6"/>
      <c r="L23" s="11"/>
      <c r="M23" s="11"/>
      <c r="N23" s="11"/>
      <c r="O23" s="11"/>
      <c r="P23" s="12"/>
      <c r="Q23" s="11"/>
      <c r="R23" s="11"/>
    </row>
    <row r="24" spans="1:18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6"/>
      <c r="L24" s="11"/>
      <c r="M24" s="11"/>
      <c r="N24" s="11"/>
      <c r="O24" s="11"/>
      <c r="P24" s="12"/>
      <c r="Q24" s="11"/>
      <c r="R24" s="11"/>
    </row>
    <row r="25" spans="1:18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6"/>
      <c r="L25" s="11"/>
      <c r="M25" s="11"/>
      <c r="N25" s="11"/>
      <c r="O25" s="11"/>
      <c r="P25" s="12"/>
      <c r="Q25" s="11"/>
      <c r="R25" s="11"/>
    </row>
    <row r="26" spans="1:18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6"/>
      <c r="L26" s="11"/>
      <c r="M26" s="11"/>
      <c r="N26" s="11"/>
      <c r="O26" s="11"/>
      <c r="P26" s="12"/>
      <c r="Q26" s="11"/>
      <c r="R26" s="11"/>
    </row>
    <row r="27" spans="1:18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6"/>
      <c r="L27" s="11"/>
      <c r="M27" s="11"/>
      <c r="N27" s="11"/>
      <c r="O27" s="11"/>
      <c r="P27" s="12"/>
      <c r="Q27" s="11"/>
      <c r="R27" s="11"/>
    </row>
    <row r="28" spans="1:18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6"/>
      <c r="L28" s="11"/>
      <c r="M28" s="11"/>
      <c r="N28" s="11"/>
      <c r="O28" s="11"/>
      <c r="P28" s="12"/>
      <c r="Q28" s="11"/>
      <c r="R28" s="11"/>
    </row>
    <row r="29" spans="1:18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6"/>
      <c r="L29" s="11"/>
      <c r="M29" s="11"/>
      <c r="N29" s="11"/>
      <c r="O29" s="11"/>
      <c r="P29" s="12"/>
      <c r="Q29" s="11"/>
      <c r="R29" s="11"/>
    </row>
  </sheetData>
  <mergeCells count="1">
    <mergeCell ref="A1:R1"/>
  </mergeCells>
  <dataValidations count="1">
    <dataValidation type="list" allowBlank="1" sqref="L3:L29" xr:uid="{00000000-0002-0000-0500-000001000000}">
      <formula1>"Trong HĐCU,Ngoài HĐCU"</formula1>
      <formula2>0</formula2>
    </dataValidation>
  </dataValidations>
  <hyperlinks>
    <hyperlink ref="M3" r:id="rId1" xr:uid="{00000000-0004-0000-0500-000000000000}"/>
    <hyperlink ref="M4" r:id="rId2" xr:uid="{00000000-0004-0000-0500-000001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'DM_Danh muc'!$R$3:$R$4</xm:f>
          </x14:formula1>
          <x14:formula2>
            <xm:f>0</xm:f>
          </x14:formula2>
          <xm:sqref>F3:F29</xm:sqref>
        </x14:dataValidation>
        <x14:dataValidation type="list" allowBlank="1" xr:uid="{00000000-0002-0000-0500-000002000000}">
          <x14:formula1>
            <xm:f>'DM_Danh muc'!$L$3:$L$7</xm:f>
          </x14:formula1>
          <x14:formula2>
            <xm:f>0</xm:f>
          </x14:formula2>
          <xm:sqref>N3:N29</xm:sqref>
        </x14:dataValidation>
        <x14:dataValidation type="list" allowBlank="1" xr:uid="{00000000-0002-0000-0500-000003000000}">
          <x14:formula1>
            <xm:f>'DM_Danh muc'!$M$3:$M$5</xm:f>
          </x14:formula1>
          <x14:formula2>
            <xm:f>0</xm:f>
          </x14:formula2>
          <xm:sqref>Q3:Q29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O28"/>
  <sheetViews>
    <sheetView zoomScale="85" zoomScaleNormal="85" workbookViewId="0">
      <pane ySplit="2" topLeftCell="A3" activePane="bottomLeft" state="frozen"/>
      <selection pane="bottomLeft" activeCell="A3" sqref="A3:M3"/>
    </sheetView>
  </sheetViews>
  <sheetFormatPr defaultColWidth="8.7109375" defaultRowHeight="15" x14ac:dyDescent="0.25"/>
  <cols>
    <col min="1" max="1" width="6" customWidth="1"/>
    <col min="2" max="2" width="15" customWidth="1"/>
    <col min="3" max="3" width="16" customWidth="1"/>
    <col min="4" max="4" width="12" customWidth="1"/>
    <col min="5" max="5" width="10" customWidth="1"/>
    <col min="6" max="6" width="20" customWidth="1"/>
    <col min="7" max="7" width="16" customWidth="1"/>
    <col min="8" max="8" width="26" customWidth="1"/>
    <col min="9" max="9" width="12" customWidth="1"/>
    <col min="10" max="10" width="16" customWidth="1"/>
    <col min="11" max="11" width="12" customWidth="1"/>
    <col min="12" max="12" width="11" customWidth="1"/>
    <col min="13" max="13" width="18" customWidth="1"/>
    <col min="14" max="14" width="13" customWidth="1"/>
    <col min="15" max="15" width="12" customWidth="1"/>
  </cols>
  <sheetData>
    <row r="1" spans="1:15" ht="15.75" x14ac:dyDescent="0.25">
      <c r="A1" s="95" t="s">
        <v>435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</row>
    <row r="2" spans="1:15" ht="39.75" customHeight="1" x14ac:dyDescent="0.25">
      <c r="A2" s="17" t="s">
        <v>293</v>
      </c>
      <c r="B2" s="17" t="s">
        <v>60</v>
      </c>
      <c r="C2" s="17" t="s">
        <v>294</v>
      </c>
      <c r="D2" s="17" t="s">
        <v>436</v>
      </c>
      <c r="E2" s="17" t="s">
        <v>437</v>
      </c>
      <c r="F2" s="17" t="s">
        <v>382</v>
      </c>
      <c r="G2" s="17" t="s">
        <v>438</v>
      </c>
      <c r="H2" s="17" t="s">
        <v>439</v>
      </c>
      <c r="I2" s="17" t="s">
        <v>440</v>
      </c>
      <c r="J2" s="17" t="s">
        <v>441</v>
      </c>
      <c r="K2" s="17" t="s">
        <v>301</v>
      </c>
      <c r="L2" s="17" t="s">
        <v>300</v>
      </c>
      <c r="M2" s="17" t="s">
        <v>442</v>
      </c>
      <c r="N2" s="17" t="s">
        <v>443</v>
      </c>
      <c r="O2" s="17" t="s">
        <v>388</v>
      </c>
    </row>
    <row r="3" spans="1:15" ht="30" customHeight="1" x14ac:dyDescent="0.25">
      <c r="A3" s="7">
        <v>1</v>
      </c>
      <c r="B3" s="8" t="s">
        <v>132</v>
      </c>
      <c r="C3" s="8" t="s">
        <v>444</v>
      </c>
      <c r="D3" s="10">
        <v>46189</v>
      </c>
      <c r="E3" s="15">
        <v>5</v>
      </c>
      <c r="F3" s="8" t="s">
        <v>445</v>
      </c>
      <c r="G3" s="8" t="s">
        <v>446</v>
      </c>
      <c r="H3" s="8" t="s">
        <v>447</v>
      </c>
      <c r="I3" s="10">
        <v>46203</v>
      </c>
      <c r="J3" s="9" t="s">
        <v>448</v>
      </c>
      <c r="K3" s="8" t="s">
        <v>129</v>
      </c>
      <c r="L3" s="8" t="s">
        <v>449</v>
      </c>
      <c r="M3" s="8" t="s">
        <v>450</v>
      </c>
      <c r="N3" s="8" t="s">
        <v>451</v>
      </c>
      <c r="O3" s="8"/>
    </row>
    <row r="4" spans="1:15" x14ac:dyDescent="0.25">
      <c r="A4" s="11"/>
      <c r="B4" s="11"/>
      <c r="C4" s="11"/>
      <c r="D4" s="12"/>
      <c r="E4" s="16"/>
      <c r="F4" s="11"/>
      <c r="G4" s="11"/>
      <c r="H4" s="11"/>
      <c r="I4" s="12"/>
      <c r="J4" s="11"/>
      <c r="K4" s="11"/>
      <c r="L4" s="11"/>
      <c r="M4" s="11"/>
      <c r="N4" s="11"/>
      <c r="O4" s="11"/>
    </row>
    <row r="5" spans="1:15" x14ac:dyDescent="0.25">
      <c r="A5" s="11"/>
      <c r="B5" s="11"/>
      <c r="C5" s="11"/>
      <c r="D5" s="12"/>
      <c r="E5" s="16"/>
      <c r="F5" s="11"/>
      <c r="G5" s="11"/>
      <c r="H5" s="11"/>
      <c r="I5" s="12"/>
      <c r="J5" s="11"/>
      <c r="K5" s="11"/>
      <c r="L5" s="11"/>
      <c r="M5" s="11"/>
      <c r="N5" s="11"/>
      <c r="O5" s="11"/>
    </row>
    <row r="6" spans="1:15" x14ac:dyDescent="0.25">
      <c r="A6" s="11"/>
      <c r="B6" s="11"/>
      <c r="C6" s="11"/>
      <c r="D6" s="12"/>
      <c r="E6" s="16"/>
      <c r="F6" s="11"/>
      <c r="G6" s="11"/>
      <c r="H6" s="11"/>
      <c r="I6" s="12"/>
      <c r="J6" s="11"/>
      <c r="K6" s="11"/>
      <c r="L6" s="11"/>
      <c r="M6" s="11"/>
      <c r="N6" s="11"/>
      <c r="O6" s="11"/>
    </row>
    <row r="7" spans="1:15" x14ac:dyDescent="0.25">
      <c r="A7" s="11"/>
      <c r="B7" s="11"/>
      <c r="C7" s="11"/>
      <c r="D7" s="12"/>
      <c r="E7" s="16"/>
      <c r="F7" s="11"/>
      <c r="G7" s="11"/>
      <c r="H7" s="11"/>
      <c r="I7" s="12"/>
      <c r="J7" s="11"/>
      <c r="K7" s="11"/>
      <c r="L7" s="11"/>
      <c r="M7" s="11"/>
      <c r="N7" s="11"/>
      <c r="O7" s="11"/>
    </row>
    <row r="8" spans="1:15" x14ac:dyDescent="0.25">
      <c r="A8" s="11"/>
      <c r="B8" s="11"/>
      <c r="C8" s="11"/>
      <c r="D8" s="12"/>
      <c r="E8" s="16"/>
      <c r="F8" s="11"/>
      <c r="G8" s="11"/>
      <c r="H8" s="11"/>
      <c r="I8" s="12"/>
      <c r="J8" s="11"/>
      <c r="K8" s="11"/>
      <c r="L8" s="11"/>
      <c r="M8" s="11"/>
      <c r="N8" s="11"/>
      <c r="O8" s="11"/>
    </row>
    <row r="9" spans="1:15" x14ac:dyDescent="0.25">
      <c r="A9" s="11"/>
      <c r="B9" s="11"/>
      <c r="C9" s="11"/>
      <c r="D9" s="12"/>
      <c r="E9" s="16"/>
      <c r="F9" s="11"/>
      <c r="G9" s="11"/>
      <c r="H9" s="11"/>
      <c r="I9" s="12"/>
      <c r="J9" s="11"/>
      <c r="K9" s="11"/>
      <c r="L9" s="11"/>
      <c r="M9" s="11"/>
      <c r="N9" s="11"/>
      <c r="O9" s="11"/>
    </row>
    <row r="10" spans="1:15" x14ac:dyDescent="0.25">
      <c r="A10" s="11"/>
      <c r="B10" s="11"/>
      <c r="C10" s="11"/>
      <c r="D10" s="12"/>
      <c r="E10" s="16"/>
      <c r="F10" s="11"/>
      <c r="G10" s="11"/>
      <c r="H10" s="11"/>
      <c r="I10" s="12"/>
      <c r="J10" s="11"/>
      <c r="K10" s="11"/>
      <c r="L10" s="11"/>
      <c r="M10" s="11"/>
      <c r="N10" s="11"/>
      <c r="O10" s="11"/>
    </row>
    <row r="11" spans="1:15" x14ac:dyDescent="0.25">
      <c r="A11" s="11"/>
      <c r="B11" s="11"/>
      <c r="C11" s="11"/>
      <c r="D11" s="12"/>
      <c r="E11" s="16"/>
      <c r="F11" s="11"/>
      <c r="G11" s="11"/>
      <c r="H11" s="11"/>
      <c r="I11" s="12"/>
      <c r="J11" s="11"/>
      <c r="K11" s="11"/>
      <c r="L11" s="11"/>
      <c r="M11" s="11"/>
      <c r="N11" s="11"/>
      <c r="O11" s="11"/>
    </row>
    <row r="12" spans="1:15" x14ac:dyDescent="0.25">
      <c r="A12" s="11"/>
      <c r="B12" s="11"/>
      <c r="C12" s="11"/>
      <c r="D12" s="12"/>
      <c r="E12" s="16"/>
      <c r="F12" s="11"/>
      <c r="G12" s="11"/>
      <c r="H12" s="11"/>
      <c r="I12" s="12"/>
      <c r="J12" s="11"/>
      <c r="K12" s="11"/>
      <c r="L12" s="11"/>
      <c r="M12" s="11"/>
      <c r="N12" s="11"/>
      <c r="O12" s="11"/>
    </row>
    <row r="13" spans="1:15" x14ac:dyDescent="0.25">
      <c r="A13" s="11"/>
      <c r="B13" s="11"/>
      <c r="C13" s="11"/>
      <c r="D13" s="12"/>
      <c r="E13" s="16"/>
      <c r="F13" s="11"/>
      <c r="G13" s="11"/>
      <c r="H13" s="11"/>
      <c r="I13" s="12"/>
      <c r="J13" s="11"/>
      <c r="K13" s="11"/>
      <c r="L13" s="11"/>
      <c r="M13" s="11"/>
      <c r="N13" s="11"/>
      <c r="O13" s="11"/>
    </row>
    <row r="14" spans="1:15" x14ac:dyDescent="0.25">
      <c r="A14" s="11"/>
      <c r="B14" s="11"/>
      <c r="C14" s="11"/>
      <c r="D14" s="12"/>
      <c r="E14" s="16"/>
      <c r="F14" s="11"/>
      <c r="G14" s="11"/>
      <c r="H14" s="11"/>
      <c r="I14" s="12"/>
      <c r="J14" s="11"/>
      <c r="K14" s="11"/>
      <c r="L14" s="11"/>
      <c r="M14" s="11"/>
      <c r="N14" s="11"/>
      <c r="O14" s="11"/>
    </row>
    <row r="15" spans="1:15" x14ac:dyDescent="0.25">
      <c r="A15" s="11"/>
      <c r="B15" s="11"/>
      <c r="C15" s="11"/>
      <c r="D15" s="12"/>
      <c r="E15" s="16"/>
      <c r="F15" s="11"/>
      <c r="G15" s="11"/>
      <c r="H15" s="11"/>
      <c r="I15" s="12"/>
      <c r="J15" s="11"/>
      <c r="K15" s="11"/>
      <c r="L15" s="11"/>
      <c r="M15" s="11"/>
      <c r="N15" s="11"/>
      <c r="O15" s="11"/>
    </row>
    <row r="16" spans="1:15" x14ac:dyDescent="0.25">
      <c r="A16" s="11"/>
      <c r="B16" s="11"/>
      <c r="C16" s="11"/>
      <c r="D16" s="12"/>
      <c r="E16" s="16"/>
      <c r="F16" s="11"/>
      <c r="G16" s="11"/>
      <c r="H16" s="11"/>
      <c r="I16" s="12"/>
      <c r="J16" s="11"/>
      <c r="K16" s="11"/>
      <c r="L16" s="11"/>
      <c r="M16" s="11"/>
      <c r="N16" s="11"/>
      <c r="O16" s="11"/>
    </row>
    <row r="17" spans="1:15" x14ac:dyDescent="0.25">
      <c r="A17" s="11"/>
      <c r="B17" s="11"/>
      <c r="C17" s="11"/>
      <c r="D17" s="12"/>
      <c r="E17" s="16"/>
      <c r="F17" s="11"/>
      <c r="G17" s="11"/>
      <c r="H17" s="11"/>
      <c r="I17" s="12"/>
      <c r="J17" s="11"/>
      <c r="K17" s="11"/>
      <c r="L17" s="11"/>
      <c r="M17" s="11"/>
      <c r="N17" s="11"/>
      <c r="O17" s="11"/>
    </row>
    <row r="18" spans="1:15" x14ac:dyDescent="0.25">
      <c r="A18" s="11"/>
      <c r="B18" s="11"/>
      <c r="C18" s="11"/>
      <c r="D18" s="12"/>
      <c r="E18" s="16"/>
      <c r="F18" s="11"/>
      <c r="G18" s="11"/>
      <c r="H18" s="11"/>
      <c r="I18" s="12"/>
      <c r="J18" s="11"/>
      <c r="K18" s="11"/>
      <c r="L18" s="11"/>
      <c r="M18" s="11"/>
      <c r="N18" s="11"/>
      <c r="O18" s="11"/>
    </row>
    <row r="19" spans="1:15" x14ac:dyDescent="0.25">
      <c r="A19" s="11"/>
      <c r="B19" s="11"/>
      <c r="C19" s="11"/>
      <c r="D19" s="12"/>
      <c r="E19" s="16"/>
      <c r="F19" s="11"/>
      <c r="G19" s="11"/>
      <c r="H19" s="11"/>
      <c r="I19" s="12"/>
      <c r="J19" s="11"/>
      <c r="K19" s="11"/>
      <c r="L19" s="11"/>
      <c r="M19" s="11"/>
      <c r="N19" s="11"/>
      <c r="O19" s="11"/>
    </row>
    <row r="20" spans="1:15" x14ac:dyDescent="0.25">
      <c r="A20" s="11"/>
      <c r="B20" s="11"/>
      <c r="C20" s="11"/>
      <c r="D20" s="12"/>
      <c r="E20" s="16"/>
      <c r="F20" s="11"/>
      <c r="G20" s="11"/>
      <c r="H20" s="11"/>
      <c r="I20" s="12"/>
      <c r="J20" s="11"/>
      <c r="K20" s="11"/>
      <c r="L20" s="11"/>
      <c r="M20" s="11"/>
      <c r="N20" s="11"/>
      <c r="O20" s="11"/>
    </row>
    <row r="21" spans="1:15" x14ac:dyDescent="0.25">
      <c r="A21" s="11"/>
      <c r="B21" s="11"/>
      <c r="C21" s="11"/>
      <c r="D21" s="12"/>
      <c r="E21" s="16"/>
      <c r="F21" s="11"/>
      <c r="G21" s="11"/>
      <c r="H21" s="11"/>
      <c r="I21" s="12"/>
      <c r="J21" s="11"/>
      <c r="K21" s="11"/>
      <c r="L21" s="11"/>
      <c r="M21" s="11"/>
      <c r="N21" s="11"/>
      <c r="O21" s="11"/>
    </row>
    <row r="22" spans="1:15" x14ac:dyDescent="0.25">
      <c r="A22" s="11"/>
      <c r="B22" s="11"/>
      <c r="C22" s="11"/>
      <c r="D22" s="12"/>
      <c r="E22" s="16"/>
      <c r="F22" s="11"/>
      <c r="G22" s="11"/>
      <c r="H22" s="11"/>
      <c r="I22" s="12"/>
      <c r="J22" s="11"/>
      <c r="K22" s="11"/>
      <c r="L22" s="11"/>
      <c r="M22" s="11"/>
      <c r="N22" s="11"/>
      <c r="O22" s="11"/>
    </row>
    <row r="23" spans="1:15" x14ac:dyDescent="0.25">
      <c r="A23" s="11"/>
      <c r="B23" s="11"/>
      <c r="C23" s="11"/>
      <c r="D23" s="12"/>
      <c r="E23" s="16"/>
      <c r="F23" s="11"/>
      <c r="G23" s="11"/>
      <c r="H23" s="11"/>
      <c r="I23" s="12"/>
      <c r="J23" s="11"/>
      <c r="K23" s="11"/>
      <c r="L23" s="11"/>
      <c r="M23" s="11"/>
      <c r="N23" s="11"/>
      <c r="O23" s="11"/>
    </row>
    <row r="24" spans="1:15" x14ac:dyDescent="0.25">
      <c r="A24" s="11"/>
      <c r="B24" s="11"/>
      <c r="C24" s="11"/>
      <c r="D24" s="12"/>
      <c r="E24" s="16"/>
      <c r="F24" s="11"/>
      <c r="G24" s="11"/>
      <c r="H24" s="11"/>
      <c r="I24" s="12"/>
      <c r="J24" s="11"/>
      <c r="K24" s="11"/>
      <c r="L24" s="11"/>
      <c r="M24" s="11"/>
      <c r="N24" s="11"/>
      <c r="O24" s="11"/>
    </row>
    <row r="25" spans="1:15" x14ac:dyDescent="0.25">
      <c r="A25" s="11"/>
      <c r="B25" s="11"/>
      <c r="C25" s="11"/>
      <c r="D25" s="12"/>
      <c r="E25" s="16"/>
      <c r="F25" s="11"/>
      <c r="G25" s="11"/>
      <c r="H25" s="11"/>
      <c r="I25" s="12"/>
      <c r="J25" s="11"/>
      <c r="K25" s="11"/>
      <c r="L25" s="11"/>
      <c r="M25" s="11"/>
      <c r="N25" s="11"/>
      <c r="O25" s="11"/>
    </row>
    <row r="26" spans="1:15" x14ac:dyDescent="0.25">
      <c r="A26" s="11"/>
      <c r="B26" s="11"/>
      <c r="C26" s="11"/>
      <c r="D26" s="12"/>
      <c r="E26" s="16"/>
      <c r="F26" s="11"/>
      <c r="G26" s="11"/>
      <c r="H26" s="11"/>
      <c r="I26" s="12"/>
      <c r="J26" s="11"/>
      <c r="K26" s="11"/>
      <c r="L26" s="11"/>
      <c r="M26" s="11"/>
      <c r="N26" s="11"/>
      <c r="O26" s="11"/>
    </row>
    <row r="27" spans="1:15" x14ac:dyDescent="0.25">
      <c r="A27" s="11"/>
      <c r="B27" s="11"/>
      <c r="C27" s="11"/>
      <c r="D27" s="12"/>
      <c r="E27" s="16"/>
      <c r="F27" s="11"/>
      <c r="G27" s="11"/>
      <c r="H27" s="11"/>
      <c r="I27" s="12"/>
      <c r="J27" s="11"/>
      <c r="K27" s="11"/>
      <c r="L27" s="11"/>
      <c r="M27" s="11"/>
      <c r="N27" s="11"/>
      <c r="O27" s="11"/>
    </row>
    <row r="28" spans="1:15" x14ac:dyDescent="0.25">
      <c r="A28" s="11"/>
      <c r="B28" s="11"/>
      <c r="C28" s="11"/>
      <c r="D28" s="12"/>
      <c r="E28" s="16"/>
      <c r="F28" s="11"/>
      <c r="G28" s="11"/>
      <c r="H28" s="11"/>
      <c r="I28" s="12"/>
      <c r="J28" s="11"/>
      <c r="K28" s="11"/>
      <c r="L28" s="11"/>
      <c r="M28" s="11"/>
      <c r="N28" s="11"/>
      <c r="O28" s="11"/>
    </row>
  </sheetData>
  <mergeCells count="1">
    <mergeCell ref="A1:O1"/>
  </mergeCells>
  <hyperlinks>
    <hyperlink ref="J3" r:id="rId1" xr:uid="{00000000-0004-0000-06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0000000}">
          <x14:formula1>
            <xm:f>'DM_Danh muc'!$S$3:$S$7</xm:f>
          </x14:formula1>
          <x14:formula2>
            <xm:f>0</xm:f>
          </x14:formula2>
          <xm:sqref>G3:G28</xm:sqref>
        </x14:dataValidation>
        <x14:dataValidation type="list" allowBlank="1" xr:uid="{00000000-0002-0000-0600-000001000000}">
          <x14:formula1>
            <xm:f>'DM_Danh muc'!$L$3:$L$7</xm:f>
          </x14:formula1>
          <x14:formula2>
            <xm:f>0</xm:f>
          </x14:formula2>
          <xm:sqref>K3:K28</xm:sqref>
        </x14:dataValidation>
        <x14:dataValidation type="list" allowBlank="1" xr:uid="{00000000-0002-0000-0600-000002000000}">
          <x14:formula1>
            <xm:f>'DM_Danh muc'!$N$3:$N$5</xm:f>
          </x14:formula1>
          <x14:formula2>
            <xm:f>0</xm:f>
          </x14:formula2>
          <xm:sqref>N3:N28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T10"/>
  <sheetViews>
    <sheetView zoomScale="115" zoomScaleNormal="115" workbookViewId="0">
      <pane ySplit="2" topLeftCell="A3" activePane="bottomLeft" state="frozen"/>
      <selection pane="bottomLeft" sqref="A1:T1"/>
    </sheetView>
  </sheetViews>
  <sheetFormatPr defaultColWidth="8.7109375" defaultRowHeight="15" x14ac:dyDescent="0.25"/>
  <cols>
    <col min="1" max="1" width="17" customWidth="1"/>
    <col min="2" max="2" width="12.140625" customWidth="1"/>
    <col min="3" max="8" width="17" customWidth="1"/>
    <col min="9" max="9" width="12.140625" customWidth="1"/>
    <col min="10" max="10" width="17" customWidth="1"/>
    <col min="11" max="11" width="14" customWidth="1"/>
    <col min="12" max="12" width="17.42578125" customWidth="1"/>
    <col min="13" max="14" width="17" customWidth="1"/>
    <col min="15" max="15" width="10.7109375" customWidth="1"/>
    <col min="16" max="20" width="17" customWidth="1"/>
  </cols>
  <sheetData>
    <row r="1" spans="1:20" ht="15.75" x14ac:dyDescent="0.25">
      <c r="A1" s="95" t="s">
        <v>452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0" ht="25.5" customHeight="1" x14ac:dyDescent="0.25">
      <c r="A2" s="17" t="s">
        <v>69</v>
      </c>
      <c r="B2" s="17" t="s">
        <v>70</v>
      </c>
      <c r="C2" s="17" t="s">
        <v>71</v>
      </c>
      <c r="D2" s="17" t="s">
        <v>73</v>
      </c>
      <c r="E2" s="17" t="s">
        <v>75</v>
      </c>
      <c r="F2" s="17" t="s">
        <v>77</v>
      </c>
      <c r="G2" s="17" t="s">
        <v>453</v>
      </c>
      <c r="H2" s="17" t="s">
        <v>83</v>
      </c>
      <c r="I2" s="17" t="s">
        <v>454</v>
      </c>
      <c r="J2" s="17" t="s">
        <v>62</v>
      </c>
      <c r="K2" s="17" t="s">
        <v>455</v>
      </c>
      <c r="L2" s="17" t="s">
        <v>456</v>
      </c>
      <c r="M2" s="17" t="s">
        <v>415</v>
      </c>
      <c r="N2" s="17" t="s">
        <v>457</v>
      </c>
      <c r="O2" s="17" t="s">
        <v>458</v>
      </c>
      <c r="P2" s="17" t="s">
        <v>459</v>
      </c>
      <c r="Q2" s="17" t="s">
        <v>460</v>
      </c>
      <c r="R2" s="17" t="s">
        <v>461</v>
      </c>
      <c r="S2" s="17" t="s">
        <v>438</v>
      </c>
      <c r="T2" s="17" t="s">
        <v>353</v>
      </c>
    </row>
    <row r="3" spans="1:20" x14ac:dyDescent="0.25">
      <c r="A3" s="18" t="s">
        <v>462</v>
      </c>
      <c r="B3" s="18" t="s">
        <v>192</v>
      </c>
      <c r="C3" s="18" t="s">
        <v>193</v>
      </c>
      <c r="D3" s="18" t="s">
        <v>194</v>
      </c>
      <c r="E3" s="18" t="s">
        <v>175</v>
      </c>
      <c r="F3" s="18" t="s">
        <v>463</v>
      </c>
      <c r="G3" s="18" t="s">
        <v>464</v>
      </c>
      <c r="H3" s="18" t="s">
        <v>465</v>
      </c>
      <c r="I3" s="18" t="s">
        <v>466</v>
      </c>
      <c r="J3" s="18" t="s">
        <v>121</v>
      </c>
      <c r="K3" s="18" t="s">
        <v>467</v>
      </c>
      <c r="L3" s="18" t="s">
        <v>463</v>
      </c>
      <c r="M3" s="18" t="s">
        <v>424</v>
      </c>
      <c r="N3" s="18" t="s">
        <v>451</v>
      </c>
      <c r="O3" s="18" t="s">
        <v>303</v>
      </c>
      <c r="P3" s="18" t="s">
        <v>358</v>
      </c>
      <c r="Q3" s="18" t="s">
        <v>391</v>
      </c>
      <c r="R3" s="18" t="s">
        <v>418</v>
      </c>
      <c r="S3" s="18" t="s">
        <v>446</v>
      </c>
      <c r="T3" s="18" t="s">
        <v>360</v>
      </c>
    </row>
    <row r="4" spans="1:20" x14ac:dyDescent="0.25">
      <c r="A4" s="18" t="s">
        <v>191</v>
      </c>
      <c r="B4" s="18" t="s">
        <v>468</v>
      </c>
      <c r="C4" s="18" t="s">
        <v>468</v>
      </c>
      <c r="D4" s="18" t="s">
        <v>469</v>
      </c>
      <c r="E4" s="18" t="s">
        <v>470</v>
      </c>
      <c r="F4" s="18" t="s">
        <v>468</v>
      </c>
      <c r="G4" s="18" t="s">
        <v>471</v>
      </c>
      <c r="H4" s="18" t="s">
        <v>472</v>
      </c>
      <c r="I4" s="18" t="s">
        <v>473</v>
      </c>
      <c r="J4" s="18" t="s">
        <v>134</v>
      </c>
      <c r="K4" s="18" t="s">
        <v>142</v>
      </c>
      <c r="L4" s="18" t="s">
        <v>468</v>
      </c>
      <c r="M4" s="18" t="s">
        <v>474</v>
      </c>
      <c r="N4" s="18" t="s">
        <v>475</v>
      </c>
      <c r="O4" s="18" t="s">
        <v>308</v>
      </c>
      <c r="P4" s="18" t="s">
        <v>364</v>
      </c>
      <c r="Q4" s="18" t="s">
        <v>399</v>
      </c>
      <c r="R4" s="18" t="s">
        <v>427</v>
      </c>
      <c r="S4" s="18" t="s">
        <v>476</v>
      </c>
      <c r="T4" s="18" t="s">
        <v>477</v>
      </c>
    </row>
    <row r="5" spans="1:20" x14ac:dyDescent="0.25">
      <c r="A5" s="18" t="s">
        <v>285</v>
      </c>
      <c r="B5" s="18" t="s">
        <v>125</v>
      </c>
      <c r="C5" s="18" t="s">
        <v>478</v>
      </c>
      <c r="D5" s="18" t="s">
        <v>174</v>
      </c>
      <c r="E5" s="18" t="s">
        <v>128</v>
      </c>
      <c r="F5" s="18" t="s">
        <v>373</v>
      </c>
      <c r="G5" s="18" t="s">
        <v>130</v>
      </c>
      <c r="H5" s="18" t="s">
        <v>129</v>
      </c>
      <c r="I5" s="18" t="s">
        <v>479</v>
      </c>
      <c r="J5" s="18" t="s">
        <v>261</v>
      </c>
      <c r="K5" s="18" t="s">
        <v>480</v>
      </c>
      <c r="L5" s="18" t="s">
        <v>373</v>
      </c>
      <c r="M5" s="18" t="s">
        <v>434</v>
      </c>
      <c r="N5" s="18" t="s">
        <v>481</v>
      </c>
      <c r="O5" s="18" t="s">
        <v>311</v>
      </c>
      <c r="P5" s="18" t="s">
        <v>367</v>
      </c>
      <c r="Q5" s="18" t="s">
        <v>482</v>
      </c>
      <c r="S5" s="18" t="s">
        <v>483</v>
      </c>
    </row>
    <row r="6" spans="1:20" x14ac:dyDescent="0.25">
      <c r="A6" s="18" t="s">
        <v>484</v>
      </c>
      <c r="C6" s="18" t="s">
        <v>126</v>
      </c>
      <c r="D6" s="18" t="s">
        <v>127</v>
      </c>
      <c r="E6" s="18" t="s">
        <v>485</v>
      </c>
      <c r="F6" s="18" t="s">
        <v>129</v>
      </c>
      <c r="L6" s="18" t="s">
        <v>129</v>
      </c>
      <c r="O6" s="18" t="s">
        <v>314</v>
      </c>
      <c r="P6" s="18" t="s">
        <v>370</v>
      </c>
      <c r="Q6" s="18" t="s">
        <v>486</v>
      </c>
      <c r="S6" s="18" t="s">
        <v>487</v>
      </c>
    </row>
    <row r="7" spans="1:20" x14ac:dyDescent="0.25">
      <c r="A7" s="18" t="s">
        <v>124</v>
      </c>
      <c r="D7" s="18" t="s">
        <v>187</v>
      </c>
      <c r="L7" s="18" t="s">
        <v>488</v>
      </c>
      <c r="O7" s="18" t="s">
        <v>318</v>
      </c>
      <c r="P7" s="18" t="s">
        <v>374</v>
      </c>
      <c r="Q7" s="18" t="s">
        <v>489</v>
      </c>
      <c r="S7" s="18" t="s">
        <v>490</v>
      </c>
    </row>
    <row r="8" spans="1:20" x14ac:dyDescent="0.25">
      <c r="O8" s="18" t="s">
        <v>322</v>
      </c>
    </row>
    <row r="9" spans="1:20" x14ac:dyDescent="0.25">
      <c r="O9" s="18" t="s">
        <v>326</v>
      </c>
    </row>
    <row r="10" spans="1:20" x14ac:dyDescent="0.25">
      <c r="O10" s="18" t="s">
        <v>329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00_Huong dan</vt:lpstr>
      <vt:lpstr>DASHBOARD</vt:lpstr>
      <vt:lpstr>BANG TONG HOP</vt:lpstr>
      <vt:lpstr>01_HSo TienKC</vt:lpstr>
      <vt:lpstr>02_KH Thang_Tuan</vt:lpstr>
      <vt:lpstr>03_Phat sinh</vt:lpstr>
      <vt:lpstr>04_CU dac thu</vt:lpstr>
      <vt:lpstr>05_Bu tien do</vt:lpstr>
      <vt:lpstr>DM_Danh muc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Administrator</cp:lastModifiedBy>
  <cp:revision>0</cp:revision>
  <dcterms:created xsi:type="dcterms:W3CDTF">2026-06-19T02:09:51Z</dcterms:created>
  <dcterms:modified xsi:type="dcterms:W3CDTF">2026-06-28T09:18:52Z</dcterms:modified>
  <cp:category/>
  <cp:contentStatus/>
</cp:coreProperties>
</file>